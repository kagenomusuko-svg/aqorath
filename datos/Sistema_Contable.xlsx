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figuracion" sheetId="1" state="visible" r:id="rId3"/>
    <sheet name="Mapeo_Fiscal" sheetId="2" state="visible" r:id="rId4"/>
    <sheet name="Catalogo" sheetId="3" state="visible" r:id="rId5"/>
    <sheet name="ParametrosFiscales" sheetId="4" state="visible" r:id="rId6"/>
    <sheet name="Mapeo_Polizas" sheetId="5" state="visible" r:id="rId7"/>
    <sheet name="Movimientos" sheetId="6" state="visible" r:id="rId8"/>
    <sheet name="LibroMayor" sheetId="7" state="visible" r:id="rId9"/>
    <sheet name="ReportesFinancier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<sst xmlns="http://schemas.openxmlformats.org/spreadsheetml/2006/main" count="1414" uniqueCount="440">
  <si>
    <t xml:space="preserve">Clave</t>
  </si>
  <si>
    <t xml:space="preserve">HojaDestino</t>
  </si>
  <si>
    <t xml:space="preserve">CeldaDestino</t>
  </si>
  <si>
    <t xml:space="preserve">Tipo</t>
  </si>
  <si>
    <t xml:space="preserve">Formato</t>
  </si>
  <si>
    <t xml:space="preserve">Denominacion</t>
  </si>
  <si>
    <t xml:space="preserve">EstadoSituacionFin</t>
  </si>
  <si>
    <t xml:space="preserve">A1:AA4</t>
  </si>
  <si>
    <t xml:space="preserve">Texto</t>
  </si>
  <si>
    <t xml:space="preserve">BalanceGeneral</t>
  </si>
  <si>
    <t xml:space="preserve">EstadoActividades</t>
  </si>
  <si>
    <t xml:space="preserve">EstadoResultados</t>
  </si>
  <si>
    <t xml:space="preserve">Logo</t>
  </si>
  <si>
    <t xml:space="preserve">AB1:AF4</t>
  </si>
  <si>
    <t xml:space="preserve">Imagen</t>
  </si>
  <si>
    <t xml:space="preserve">FechaInicio</t>
  </si>
  <si>
    <t xml:space="preserve">C9:P9</t>
  </si>
  <si>
    <t xml:space="preserve">Número </t>
  </si>
  <si>
    <t xml:space="preserve">Fecha</t>
  </si>
  <si>
    <t xml:space="preserve">C8:P8</t>
  </si>
  <si>
    <t xml:space="preserve">FechaFin</t>
  </si>
  <si>
    <t xml:space="preserve">S9:AF9</t>
  </si>
  <si>
    <t xml:space="preserve">S8:AF8</t>
  </si>
  <si>
    <t xml:space="preserve">Creador</t>
  </si>
  <si>
    <t xml:space="preserve">A35:J35</t>
  </si>
  <si>
    <t xml:space="preserve">A36:J36</t>
  </si>
  <si>
    <t xml:space="preserve">CargoCreador</t>
  </si>
  <si>
    <t xml:space="preserve">A37:J37</t>
  </si>
  <si>
    <t xml:space="preserve">Supervisor1</t>
  </si>
  <si>
    <t xml:space="preserve">A42:J42</t>
  </si>
  <si>
    <t xml:space="preserve">A43:J43</t>
  </si>
  <si>
    <t xml:space="preserve">CargoSupervisor1</t>
  </si>
  <si>
    <t xml:space="preserve">A44:J44</t>
  </si>
  <si>
    <t xml:space="preserve">Supervisor2</t>
  </si>
  <si>
    <t xml:space="preserve">W42:AF42</t>
  </si>
  <si>
    <t xml:space="preserve">W43:AF43</t>
  </si>
  <si>
    <t xml:space="preserve">CargoSupervisor2</t>
  </si>
  <si>
    <t xml:space="preserve">W44:AF44</t>
  </si>
  <si>
    <t xml:space="preserve">Contribuyente</t>
  </si>
  <si>
    <t xml:space="preserve">A45:AF45</t>
  </si>
  <si>
    <t xml:space="preserve">RFC</t>
  </si>
  <si>
    <t xml:space="preserve">A46:AF46</t>
  </si>
  <si>
    <t xml:space="preserve">Codigo</t>
  </si>
  <si>
    <t xml:space="preserve">Nombre cuenta base</t>
  </si>
  <si>
    <t xml:space="preserve">Tipo_operacion</t>
  </si>
  <si>
    <t xml:space="preserve">IVA tasa</t>
  </si>
  <si>
    <t xml:space="preserve">Aplica IVA</t>
  </si>
  <si>
    <t xml:space="preserve">ISR retencion</t>
  </si>
  <si>
    <t xml:space="preserve">IVA retencion</t>
  </si>
  <si>
    <t xml:space="preserve">Codigo_destino_IVA</t>
  </si>
  <si>
    <t xml:space="preserve">Codigo_destino_ISR</t>
  </si>
  <si>
    <t xml:space="preserve">Codigo_destino_IVA_retencion</t>
  </si>
  <si>
    <t xml:space="preserve">CFDI tipo</t>
  </si>
  <si>
    <t xml:space="preserve">Comentario</t>
  </si>
  <si>
    <t xml:space="preserve">clave_prodserv_sat</t>
  </si>
  <si>
    <t xml:space="preserve">unidad_sat_default</t>
  </si>
  <si>
    <t xml:space="preserve">uso_cfdi_default</t>
  </si>
  <si>
    <t xml:space="preserve">es_donativo</t>
  </si>
  <si>
    <t xml:space="preserve">requiere_complemento</t>
  </si>
  <si>
    <t xml:space="preserve">regimen_emisor_sugerido</t>
  </si>
  <si>
    <t xml:space="preserve">tipo_de_cliente_pref</t>
  </si>
  <si>
    <t xml:space="preserve">metodo_pago_default</t>
  </si>
  <si>
    <t xml:space="preserve">forma_pago_default</t>
  </si>
  <si>
    <t xml:space="preserve">generar_folio_auto</t>
  </si>
  <si>
    <t xml:space="preserve">Ventas nacionales</t>
  </si>
  <si>
    <t xml:space="preserve">Ingreso</t>
  </si>
  <si>
    <t xml:space="preserve">Sí</t>
  </si>
  <si>
    <t xml:space="preserve">—</t>
  </si>
  <si>
    <t xml:space="preserve">I</t>
  </si>
  <si>
    <t xml:space="preserve">Venta con IVA general</t>
  </si>
  <si>
    <t xml:space="preserve">01010101</t>
  </si>
  <si>
    <t xml:space="preserve">ACT</t>
  </si>
  <si>
    <t xml:space="preserve">G03</t>
  </si>
  <si>
    <t xml:space="preserve">False</t>
  </si>
  <si>
    <t xml:space="preserve">Resico-PM</t>
  </si>
  <si>
    <t xml:space="preserve">Cualquiera</t>
  </si>
  <si>
    <t xml:space="preserve">PUE</t>
  </si>
  <si>
    <t xml:space="preserve">True</t>
  </si>
  <si>
    <t xml:space="preserve">Honorarios</t>
  </si>
  <si>
    <t xml:space="preserve">Egreso</t>
  </si>
  <si>
    <t xml:space="preserve">E</t>
  </si>
  <si>
    <t xml:space="preserve">Retenciones aplican si proveedor PF</t>
  </si>
  <si>
    <t xml:space="preserve">H87</t>
  </si>
  <si>
    <t xml:space="preserve">Resico-PF</t>
  </si>
  <si>
    <t xml:space="preserve">PersonaFisica</t>
  </si>
  <si>
    <t xml:space="preserve">Honorarios asimilados</t>
  </si>
  <si>
    <t xml:space="preserve">No</t>
  </si>
  <si>
    <t xml:space="preserve">Asimilados sin IVA, solo ISR</t>
  </si>
  <si>
    <t xml:space="preserve">Compra de insumos</t>
  </si>
  <si>
    <t xml:space="preserve">Compra con IVA acreditable</t>
  </si>
  <si>
    <t xml:space="preserve">PIEZA</t>
  </si>
  <si>
    <t xml:space="preserve">Donativos recibidos</t>
  </si>
  <si>
    <t xml:space="preserve">Complemento Donatarias</t>
  </si>
  <si>
    <t xml:space="preserve">D03</t>
  </si>
  <si>
    <t xml:space="preserve">Donatarias</t>
  </si>
  <si>
    <t xml:space="preserve">AC</t>
  </si>
  <si>
    <t xml:space="preserve">Intereses bancarios</t>
  </si>
  <si>
    <t xml:space="preserve">ISR retenido por banco</t>
  </si>
  <si>
    <t xml:space="preserve">Cuotas IMSS e impuestos</t>
  </si>
  <si>
    <t xml:space="preserve">Pago de obligaciones laborales</t>
  </si>
  <si>
    <t xml:space="preserve">Impuestos locales</t>
  </si>
  <si>
    <t xml:space="preserve">Derechos o contribuciones locales</t>
  </si>
  <si>
    <t xml:space="preserve">Servicios de capacitación</t>
  </si>
  <si>
    <t xml:space="preserve">Curso, taller o asesoría</t>
  </si>
  <si>
    <t xml:space="preserve">Eventos y ferias</t>
  </si>
  <si>
    <t xml:space="preserve">Venta de entradas, stands o participación</t>
  </si>
  <si>
    <t xml:space="preserve">Servicios básicos</t>
  </si>
  <si>
    <t xml:space="preserve">Luz, agua, gas</t>
  </si>
  <si>
    <t xml:space="preserve">Arrendamientos</t>
  </si>
  <si>
    <t xml:space="preserve">Renta de inmuebles y equipos</t>
  </si>
  <si>
    <t xml:space="preserve">Mantenimiento y reparaciones</t>
  </si>
  <si>
    <t xml:space="preserve">Reparación y conservación de activos</t>
  </si>
  <si>
    <t xml:space="preserve">Transporte y mensajería</t>
  </si>
  <si>
    <t xml:space="preserve">Fletes, envíos, paquetería</t>
  </si>
  <si>
    <t xml:space="preserve">Sueldos</t>
  </si>
  <si>
    <t xml:space="preserve">Nómina personal operativo</t>
  </si>
  <si>
    <t xml:space="preserve">Nómina</t>
  </si>
  <si>
    <t xml:space="preserve">Becas y apoyos sociales</t>
  </si>
  <si>
    <t xml:space="preserve">Apoyos económicos o materiales a beneficiarios</t>
  </si>
  <si>
    <t xml:space="preserve">Capacitación de aprendices</t>
  </si>
  <si>
    <t xml:space="preserve">Formación técnica o laboral</t>
  </si>
  <si>
    <t xml:space="preserve">Material para talleres productivos</t>
  </si>
  <si>
    <t xml:space="preserve">Suministros para talleres de confección</t>
  </si>
  <si>
    <t xml:space="preserve">Publicidad y difusión institucional</t>
  </si>
  <si>
    <t xml:space="preserve">Promoción de actividades con causa</t>
  </si>
  <si>
    <t xml:space="preserve">Beneficios al personal operativo</t>
  </si>
  <si>
    <t xml:space="preserve">Apoyos en especie o servicios</t>
  </si>
  <si>
    <t xml:space="preserve">Recuperación de gastos</t>
  </si>
  <si>
    <t xml:space="preserve">Reintegros o reembolsos</t>
  </si>
  <si>
    <t xml:space="preserve">Venta de productos elaborados</t>
  </si>
  <si>
    <t xml:space="preserve">Productos confeccionados o artesanales</t>
  </si>
  <si>
    <t xml:space="preserve">Otros ingresos</t>
  </si>
  <si>
    <t xml:space="preserve">Ingresos varios</t>
  </si>
  <si>
    <t xml:space="preserve">Gastos varios</t>
  </si>
  <si>
    <t xml:space="preserve">Gastos operativos no clasificados</t>
  </si>
  <si>
    <t xml:space="preserve">Prestaciones al personal</t>
  </si>
  <si>
    <t xml:space="preserve">Beneficios legales o contractuales</t>
  </si>
  <si>
    <t xml:space="preserve">Nombre_OSC</t>
  </si>
  <si>
    <t xml:space="preserve">Nombre_Comercial</t>
  </si>
  <si>
    <t xml:space="preserve">Tipo_cuenta</t>
  </si>
  <si>
    <t xml:space="preserve">Subtipo</t>
  </si>
  <si>
    <t xml:space="preserve">Naturaleza</t>
  </si>
  <si>
    <t xml:space="preserve">Descripción/uso</t>
  </si>
  <si>
    <t xml:space="preserve">Reporte_OSC</t>
  </si>
  <si>
    <t xml:space="preserve">Reporte_Comercial</t>
  </si>
  <si>
    <t xml:space="preserve">Bancos</t>
  </si>
  <si>
    <t xml:space="preserve">Activo</t>
  </si>
  <si>
    <t xml:space="preserve">Circulante</t>
  </si>
  <si>
    <t xml:space="preserve">Deudora</t>
  </si>
  <si>
    <t xml:space="preserve">Dinero en cuentas bancarias de la Asociación</t>
  </si>
  <si>
    <t xml:space="preserve">Estado de situación financiera</t>
  </si>
  <si>
    <t xml:space="preserve">Balance General</t>
  </si>
  <si>
    <t xml:space="preserve">Caja chica</t>
  </si>
  <si>
    <t xml:space="preserve">Efectivo disponible para gastos menores</t>
  </si>
  <si>
    <t xml:space="preserve">Cuentas por cobrar</t>
  </si>
  <si>
    <t xml:space="preserve">Clientes</t>
  </si>
  <si>
    <t xml:space="preserve">Importes pendientes de cobro por ventas o servicios</t>
  </si>
  <si>
    <t xml:space="preserve">Inventarios de materiales</t>
  </si>
  <si>
    <t xml:space="preserve">Inventario</t>
  </si>
  <si>
    <t xml:space="preserve">Materiales y suministros disponibles para operación</t>
  </si>
  <si>
    <t xml:space="preserve">Anticipos a proveedores</t>
  </si>
  <si>
    <t xml:space="preserve">Pagos adelantados a proveedores</t>
  </si>
  <si>
    <t xml:space="preserve">Donativos en especie por aplicar</t>
  </si>
  <si>
    <t xml:space="preserve">Mercancía en tránsito/otros activos circulantes</t>
  </si>
  <si>
    <t xml:space="preserve">Bienes recibidos como donativos pendientes de asignación</t>
  </si>
  <si>
    <t xml:space="preserve">Mobiliario y equipo</t>
  </si>
  <si>
    <t xml:space="preserve">Mobiliario y equipo de oficina</t>
  </si>
  <si>
    <t xml:space="preserve">No circulante</t>
  </si>
  <si>
    <t xml:space="preserve">Mesas, sillas y otros bienes de oficina</t>
  </si>
  <si>
    <t xml:space="preserve">Equipo de cómputo</t>
  </si>
  <si>
    <t xml:space="preserve">Computadoras y accesorios</t>
  </si>
  <si>
    <t xml:space="preserve">Maquinaria y herramientas</t>
  </si>
  <si>
    <t xml:space="preserve">Equipos de talleres y producción</t>
  </si>
  <si>
    <t xml:space="preserve">Terrenos y edificios</t>
  </si>
  <si>
    <t xml:space="preserve">Inmuebles propiedad de la Asociación</t>
  </si>
  <si>
    <t xml:space="preserve">Depreciación acumulada</t>
  </si>
  <si>
    <t xml:space="preserve">Acreedora</t>
  </si>
  <si>
    <t xml:space="preserve">Depreciación total acumulada de los activos fijos</t>
  </si>
  <si>
    <t xml:space="preserve">Proveedores</t>
  </si>
  <si>
    <t xml:space="preserve">Pasivo</t>
  </si>
  <si>
    <t xml:space="preserve">Corto plazo</t>
  </si>
  <si>
    <t xml:space="preserve">Cuentas pendientes de pago a proveedores</t>
  </si>
  <si>
    <t xml:space="preserve">Acreedores diversos</t>
  </si>
  <si>
    <t xml:space="preserve">Obligaciones con terceros distintos a proveedores</t>
  </si>
  <si>
    <t xml:space="preserve">Impuestos por pagar</t>
  </si>
  <si>
    <t xml:space="preserve">Impuestos retenidos o causados pendientes de pago</t>
  </si>
  <si>
    <t xml:space="preserve">Sueldos y prestaciones por pagar</t>
  </si>
  <si>
    <t xml:space="preserve">Nómina por pagar</t>
  </si>
  <si>
    <t xml:space="preserve">Obligaciones laborales pendientes</t>
  </si>
  <si>
    <t xml:space="preserve">Préstamos bancarios</t>
  </si>
  <si>
    <t xml:space="preserve">Largo plazo</t>
  </si>
  <si>
    <t xml:space="preserve">Créditos otorgados por instituciones financieras</t>
  </si>
  <si>
    <t xml:space="preserve">Otros pasivos a largo plazo</t>
  </si>
  <si>
    <t xml:space="preserve">Compromisos financieros no corrientes</t>
  </si>
  <si>
    <t xml:space="preserve">Aportaciones de asociados</t>
  </si>
  <si>
    <t xml:space="preserve">Capital social</t>
  </si>
  <si>
    <t xml:space="preserve">Patrimonio</t>
  </si>
  <si>
    <t xml:space="preserve">Aportaciones de miembros fundadores o asociados</t>
  </si>
  <si>
    <t xml:space="preserve">Donativos acumulados</t>
  </si>
  <si>
    <t xml:space="preserve">Utilidades retenidas</t>
  </si>
  <si>
    <t xml:space="preserve">Donativos recibidos acumulados de ejercicios anteriores</t>
  </si>
  <si>
    <t xml:space="preserve">Resultados del ejercicio</t>
  </si>
  <si>
    <t xml:space="preserve">Utilidad o pérdida del ejercicio</t>
  </si>
  <si>
    <t xml:space="preserve">Resultado (superávit o déficit) del ejercicio actual</t>
  </si>
  <si>
    <t xml:space="preserve">Reservas patrimoniales</t>
  </si>
  <si>
    <t xml:space="preserve">Reservas de capital</t>
  </si>
  <si>
    <t xml:space="preserve">Recursos destinados a fines específicos o contingencias</t>
  </si>
  <si>
    <t xml:space="preserve">Donativos en efectivo</t>
  </si>
  <si>
    <t xml:space="preserve">Ventas al contado</t>
  </si>
  <si>
    <t xml:space="preserve">Donativos</t>
  </si>
  <si>
    <t xml:space="preserve">Donaciones recibidas en efectivo</t>
  </si>
  <si>
    <t xml:space="preserve">Estado de actividades</t>
  </si>
  <si>
    <t xml:space="preserve">Estado de resultados</t>
  </si>
  <si>
    <t xml:space="preserve">Donativos en especie</t>
  </si>
  <si>
    <t xml:space="preserve">Ventas en especie</t>
  </si>
  <si>
    <t xml:space="preserve">Bienes materiales donados</t>
  </si>
  <si>
    <t xml:space="preserve">Donativos recurrentes</t>
  </si>
  <si>
    <t xml:space="preserve">Ventas recurrentes</t>
  </si>
  <si>
    <t xml:space="preserve">Aportaciones periódicas o programadas</t>
  </si>
  <si>
    <t xml:space="preserve">Donativos institucionales</t>
  </si>
  <si>
    <t xml:space="preserve">Ingresos por convenio o contratos</t>
  </si>
  <si>
    <t xml:space="preserve">Donativos de fundaciones, empresas o gobiernos</t>
  </si>
  <si>
    <t xml:space="preserve">Ventas de productos elaborados</t>
  </si>
  <si>
    <t xml:space="preserve">Actividades con causa</t>
  </si>
  <si>
    <t xml:space="preserve">Ingresos por productos confeccionados o artesanales</t>
  </si>
  <si>
    <t xml:space="preserve">Prestación de servicios</t>
  </si>
  <si>
    <t xml:space="preserve">Cursos, talleres o asesorías</t>
  </si>
  <si>
    <t xml:space="preserve">Ingresos por eventos o ferias</t>
  </si>
  <si>
    <t xml:space="preserve">Ingresos por eventos</t>
  </si>
  <si>
    <t xml:space="preserve">Recursos generados en eventos</t>
  </si>
  <si>
    <t xml:space="preserve">Otros</t>
  </si>
  <si>
    <t xml:space="preserve">Reintegros o reembolsos de gastos</t>
  </si>
  <si>
    <t xml:space="preserve">Intereses ganados</t>
  </si>
  <si>
    <t xml:space="preserve">Intereses generados por cuentas bancarias</t>
  </si>
  <si>
    <t xml:space="preserve">Materiales y suministros</t>
  </si>
  <si>
    <t xml:space="preserve">Gasto</t>
  </si>
  <si>
    <t xml:space="preserve">Operación</t>
  </si>
  <si>
    <t xml:space="preserve">Compra de materiales y suministros generales</t>
  </si>
  <si>
    <t xml:space="preserve">Servicios básicos de operación</t>
  </si>
  <si>
    <t xml:space="preserve">Rentas de inmuebles o equipo</t>
  </si>
  <si>
    <t xml:space="preserve">Conservación y reparación de activos</t>
  </si>
  <si>
    <t xml:space="preserve">Fletes y transporte</t>
  </si>
  <si>
    <t xml:space="preserve">Movilidad y envío de materiales</t>
  </si>
  <si>
    <t xml:space="preserve">Personal</t>
  </si>
  <si>
    <t xml:space="preserve">Pagos de nómina al personal operativo</t>
  </si>
  <si>
    <t xml:space="preserve">Honorarios profesionales</t>
  </si>
  <si>
    <t xml:space="preserve">Pagos a colaboradores externos</t>
  </si>
  <si>
    <t xml:space="preserve">Cuotas IMSS e impuestos laborales</t>
  </si>
  <si>
    <t xml:space="preserve">Obligaciones patronales</t>
  </si>
  <si>
    <t xml:space="preserve">Papelería y útiles</t>
  </si>
  <si>
    <t xml:space="preserve">Administrativo</t>
  </si>
  <si>
    <t xml:space="preserve">Material de oficina</t>
  </si>
  <si>
    <t xml:space="preserve">Viáticos y representación</t>
  </si>
  <si>
    <t xml:space="preserve">Gastos de viajes y representación institucional</t>
  </si>
  <si>
    <t xml:space="preserve">Servicios profesionales</t>
  </si>
  <si>
    <t xml:space="preserve">Honorarios contables, legales u otros</t>
  </si>
  <si>
    <t xml:space="preserve">Becas o apoyos sociales</t>
  </si>
  <si>
    <t xml:space="preserve">Apoyos y donativos</t>
  </si>
  <si>
    <t xml:space="preserve">Programas</t>
  </si>
  <si>
    <t xml:space="preserve">Capacitación de personal</t>
  </si>
  <si>
    <t xml:space="preserve">Formación técnica o laboral de beneficiarios</t>
  </si>
  <si>
    <t xml:space="preserve">Material de producción</t>
  </si>
  <si>
    <t xml:space="preserve">Suministros para talleres de confección u otros</t>
  </si>
  <si>
    <t xml:space="preserve">Publicidad o difusión institucional</t>
  </si>
  <si>
    <t xml:space="preserve">Publicidad y promoción</t>
  </si>
  <si>
    <t xml:space="preserve">Beneficios y apoyos al personal operativo</t>
  </si>
  <si>
    <t xml:space="preserve">Apoyos en especie o servicios otorgados al personal operativo</t>
  </si>
  <si>
    <t xml:space="preserve">IVA acreditable</t>
  </si>
  <si>
    <t xml:space="preserve">IVA pagado en compras o gastos deducibles que puede acreditarse ante el SAT.</t>
  </si>
  <si>
    <t xml:space="preserve">IVA acreditable no deducible</t>
  </si>
  <si>
    <t xml:space="preserve">IVA no deducible</t>
  </si>
  <si>
    <t xml:space="preserve">IVA pagado en gastos no deducibles o sin CFDI válido.</t>
  </si>
  <si>
    <t xml:space="preserve">IVA pendiente de acreditar</t>
  </si>
  <si>
    <t xml:space="preserve">IVA de compras aún no acreditado por falta de pago o comprobante.</t>
  </si>
  <si>
    <t xml:space="preserve">IVA trasladado</t>
  </si>
  <si>
    <t xml:space="preserve">IVA cobrado en ventas o servicios, pendiente de enterar al SAT.</t>
  </si>
  <si>
    <t xml:space="preserve">IVA trasladado pendiente de cobro</t>
  </si>
  <si>
    <t xml:space="preserve">IVA por cobrar</t>
  </si>
  <si>
    <t xml:space="preserve">IVA facturado en ventas aún no cobradas; se convierte en IVA trasladado cuando se recibe el pago.</t>
  </si>
  <si>
    <t xml:space="preserve">ISR retenido a terceros</t>
  </si>
  <si>
    <t xml:space="preserve">ISR retenido</t>
  </si>
  <si>
    <t xml:space="preserve">ISR retenido a prestadores de servicios o personas físicas, pendiente de enterar.</t>
  </si>
  <si>
    <t xml:space="preserve">IVA retenido a terceros</t>
  </si>
  <si>
    <t xml:space="preserve">IVA retenido</t>
  </si>
  <si>
    <t xml:space="preserve">IVA retenido en pagos a personas físicas o arrendadores, pendiente de enterar.</t>
  </si>
  <si>
    <t xml:space="preserve">ISR retenido por terceros</t>
  </si>
  <si>
    <t xml:space="preserve">ISR retenido acreditable</t>
  </si>
  <si>
    <t xml:space="preserve">ISR que clientes retuvieron y puede acreditarse en declaraciones.</t>
  </si>
  <si>
    <t xml:space="preserve">IVA retenido por terceros</t>
  </si>
  <si>
    <t xml:space="preserve">IVA retenido acreditable</t>
  </si>
  <si>
    <t xml:space="preserve">IVA retenido por clientes al pagarte servicios, acreditable ante el SAT.</t>
  </si>
  <si>
    <t xml:space="preserve">ISR del ejercicio</t>
  </si>
  <si>
    <t xml:space="preserve">ISR causado</t>
  </si>
  <si>
    <t xml:space="preserve">Impuesto</t>
  </si>
  <si>
    <t xml:space="preserve">Impuesto sobre la renta generado al cierre del ejercicio.</t>
  </si>
  <si>
    <t xml:space="preserve">Pagos provisionales ISR</t>
  </si>
  <si>
    <t xml:space="preserve">ISR provisional</t>
  </si>
  <si>
    <t xml:space="preserve">Pagos mensuales o bimestrales de ISR efectuados durante el ejercicio.</t>
  </si>
  <si>
    <t xml:space="preserve">ISR por pagar</t>
  </si>
  <si>
    <t xml:space="preserve">Diferencia entre ISR causado y pagado, pendiente de liquidar.</t>
  </si>
  <si>
    <t xml:space="preserve">Recargos y actualizaciones fiscales</t>
  </si>
  <si>
    <t xml:space="preserve">Recargos y actualizaciones</t>
  </si>
  <si>
    <t xml:space="preserve">Intereses o actualizaciones por pagos fuera de plazo.</t>
  </si>
  <si>
    <t xml:space="preserve">Multas y sanciones fiscales</t>
  </si>
  <si>
    <t xml:space="preserve">Multas fiscales</t>
  </si>
  <si>
    <t xml:space="preserve">Sanciones impuestas por incumplimientos fiscales.</t>
  </si>
  <si>
    <t xml:space="preserve">Impuestos locales y derechos</t>
  </si>
  <si>
    <t xml:space="preserve">Contribuciones estatales o municipales (por ejemplo, nómina o predial).</t>
  </si>
  <si>
    <t xml:space="preserve">Parámetro</t>
  </si>
  <si>
    <t xml:space="preserve">Valor</t>
  </si>
  <si>
    <t xml:space="preserve">Unidad / Nota</t>
  </si>
  <si>
    <t xml:space="preserve">IVA_general</t>
  </si>
  <si>
    <t xml:space="preserve">%</t>
  </si>
  <si>
    <t xml:space="preserve">Tasa estándar de IVA para operaciones gravadas</t>
  </si>
  <si>
    <t xml:space="preserve">IVA_cero</t>
  </si>
  <si>
    <t xml:space="preserve">Operaciones exentas de IVA</t>
  </si>
  <si>
    <t xml:space="preserve">IVA_exento</t>
  </si>
  <si>
    <t xml:space="preserve">Exento</t>
  </si>
  <si>
    <t xml:space="preserve">Se usa para servicios o productos exentos</t>
  </si>
  <si>
    <t xml:space="preserve">ISR_retencion_pf</t>
  </si>
  <si>
    <t xml:space="preserve">Retención de ISR sobre pagos a Personas Físicas</t>
  </si>
  <si>
    <t xml:space="preserve">ISR_retencion_asimilados</t>
  </si>
  <si>
    <t xml:space="preserve">Retención ISR para honorarios asimilados</t>
  </si>
  <si>
    <t xml:space="preserve">IVA_retencion_general</t>
  </si>
  <si>
    <t xml:space="preserve">% del IVA</t>
  </si>
  <si>
    <t xml:space="preserve">Retención sobre IVA trasladado (equivalente a 2/3)</t>
  </si>
  <si>
    <t xml:space="preserve">IVA_retencion_sobre</t>
  </si>
  <si>
    <t xml:space="preserve">iva</t>
  </si>
  <si>
    <t xml:space="preserve">"iva" / "subtotal"</t>
  </si>
  <si>
    <t xml:space="preserve">Define base de cálculo de retención de IVA</t>
  </si>
  <si>
    <t xml:space="preserve">Metodo_pago_default</t>
  </si>
  <si>
    <t xml:space="preserve">PPD opcional</t>
  </si>
  <si>
    <t xml:space="preserve">PUE: pago en una sola exhibición; PPD: pago en parcialidades</t>
  </si>
  <si>
    <t xml:space="preserve">Forma_pago_efectivo</t>
  </si>
  <si>
    <t xml:space="preserve">CFDI</t>
  </si>
  <si>
    <t xml:space="preserve">Pago en efectivo</t>
  </si>
  <si>
    <t xml:space="preserve">Forma_pago_transferencia</t>
  </si>
  <si>
    <t xml:space="preserve">Pago por transferencia bancaria</t>
  </si>
  <si>
    <t xml:space="preserve">Complemento_donatarias_activo</t>
  </si>
  <si>
    <t xml:space="preserve">Boolean</t>
  </si>
  <si>
    <t xml:space="preserve">Se activa para operaciones marcadas como donativo</t>
  </si>
  <si>
    <t xml:space="preserve">Complemento_nomina_activo</t>
  </si>
  <si>
    <t xml:space="preserve">Para CFDI de nómina</t>
  </si>
  <si>
    <t xml:space="preserve">Complemento_arrendamiento_activo</t>
  </si>
  <si>
    <t xml:space="preserve">Para CFDI de arrendamiento (si aplica)</t>
  </si>
  <si>
    <t xml:space="preserve">Regimen_Resico_PF</t>
  </si>
  <si>
    <t xml:space="preserve">String</t>
  </si>
  <si>
    <t xml:space="preserve">Para contribuyentes personas físicas en régimen simplificado</t>
  </si>
  <si>
    <t xml:space="preserve">Regimen_Resico_PM</t>
  </si>
  <si>
    <t xml:space="preserve">Para contribuyentes personas morales en régimen simplificado</t>
  </si>
  <si>
    <t xml:space="preserve">Regimen_AC</t>
  </si>
  <si>
    <t xml:space="preserve">Asociaciones civiles y donatarias</t>
  </si>
  <si>
    <t xml:space="preserve">Regimen_Moral_ISR</t>
  </si>
  <si>
    <t xml:space="preserve">Moral-ISR</t>
  </si>
  <si>
    <t xml:space="preserve">Personas morales con régimen normal</t>
  </si>
  <si>
    <t xml:space="preserve">Tipo_cliente_pref_PF</t>
  </si>
  <si>
    <t xml:space="preserve">Enum</t>
  </si>
  <si>
    <t xml:space="preserve">Para validación de CFDI receptor</t>
  </si>
  <si>
    <t xml:space="preserve">Tipo_cliente_pref_PM</t>
  </si>
  <si>
    <t xml:space="preserve">PersonaMoral</t>
  </si>
  <si>
    <t xml:space="preserve">IVA_acreditable_cuenta</t>
  </si>
  <si>
    <t xml:space="preserve">Código de cuenta contable</t>
  </si>
  <si>
    <t xml:space="preserve">Cuenta destino para IVA acreditable</t>
  </si>
  <si>
    <t xml:space="preserve">IVA_trasladado_cuenta</t>
  </si>
  <si>
    <t xml:space="preserve">Cuenta destino para IVA trasladado</t>
  </si>
  <si>
    <t xml:space="preserve">ISR_retenido_cuenta</t>
  </si>
  <si>
    <t xml:space="preserve">Cuenta destino para ISR retenido</t>
  </si>
  <si>
    <t xml:space="preserve">IVA_retenido_cuenta</t>
  </si>
  <si>
    <t xml:space="preserve">Cuenta destino para IVA retenido</t>
  </si>
  <si>
    <t xml:space="preserve">Dias_pago_maximo</t>
  </si>
  <si>
    <t xml:space="preserve">días</t>
  </si>
  <si>
    <t xml:space="preserve">Para validaciones de PPD (pago en parcialidades)</t>
  </si>
  <si>
    <t xml:space="preserve">Uso_cfdi_default_gastos</t>
  </si>
  <si>
    <t xml:space="preserve">Clave SAT</t>
  </si>
  <si>
    <t xml:space="preserve">Uso de CFDI recomendado para gastos generales</t>
  </si>
  <si>
    <t xml:space="preserve">Uso_cfdi_default_donativos</t>
  </si>
  <si>
    <t xml:space="preserve">Uso de CFDI recomendado para donativos</t>
  </si>
  <si>
    <t xml:space="preserve">Unidad_default</t>
  </si>
  <si>
    <t xml:space="preserve">Unidad de medida estándar (actividad)</t>
  </si>
  <si>
    <t xml:space="preserve">Unidad_default_pieza</t>
  </si>
  <si>
    <t xml:space="preserve">Unidad para productos físicos</t>
  </si>
  <si>
    <t xml:space="preserve">IVA_0_condicion</t>
  </si>
  <si>
    <t xml:space="preserve">Indica que ciertas cuentas tienen IVA 0 o exento</t>
  </si>
  <si>
    <t xml:space="preserve">Retencion_ISR_condicion</t>
  </si>
  <si>
    <t xml:space="preserve">Define si la cuenta aplica retención de ISR</t>
  </si>
  <si>
    <t xml:space="preserve">Retencion_IVA_condicion</t>
  </si>
  <si>
    <t xml:space="preserve">Define si la cuenta aplica retención de IVA</t>
  </si>
  <si>
    <t xml:space="preserve">Tipo_Poliza</t>
  </si>
  <si>
    <t xml:space="preserve">Tipo_Cuenta</t>
  </si>
  <si>
    <t xml:space="preserve">Rol</t>
  </si>
  <si>
    <t xml:space="preserve">Incluir</t>
  </si>
  <si>
    <t xml:space="preserve">Ingresos</t>
  </si>
  <si>
    <t xml:space="preserve">Cargo</t>
  </si>
  <si>
    <t xml:space="preserve">TRUE</t>
  </si>
  <si>
    <t xml:space="preserve">Entradas de efectivo o bancos</t>
  </si>
  <si>
    <t xml:space="preserve">Abono</t>
  </si>
  <si>
    <t xml:space="preserve">Reconocimiento de ingreso</t>
  </si>
  <si>
    <t xml:space="preserve">ISR o IVA trasladado pendiente</t>
  </si>
  <si>
    <t xml:space="preserve">Egresos</t>
  </si>
  <si>
    <t xml:space="preserve">Salida de efectivo o bancos</t>
  </si>
  <si>
    <t xml:space="preserve">Reconocimiento del gasto</t>
  </si>
  <si>
    <t xml:space="preserve">IVA acreditable o retenciones</t>
  </si>
  <si>
    <t xml:space="preserve">Diario</t>
  </si>
  <si>
    <t xml:space="preserve">*</t>
  </si>
  <si>
    <t xml:space="preserve">Ambos</t>
  </si>
  <si>
    <t xml:space="preserve">Movimientos internos entre cuentas</t>
  </si>
  <si>
    <t xml:space="preserve">Cuenta</t>
  </si>
  <si>
    <t xml:space="preserve">Descripcion</t>
  </si>
  <si>
    <t xml:space="preserve">Documento soporte</t>
  </si>
  <si>
    <t xml:space="preserve">Folio</t>
  </si>
  <si>
    <t xml:space="preserve">R.F.C.</t>
  </si>
  <si>
    <t xml:space="preserve">Concepto</t>
  </si>
  <si>
    <t xml:space="preserve">Cantidad </t>
  </si>
  <si>
    <t xml:space="preserve">Unidad </t>
  </si>
  <si>
    <t xml:space="preserve">Valor_unitario</t>
  </si>
  <si>
    <t xml:space="preserve">Importe total</t>
  </si>
  <si>
    <t xml:space="preserve">IVA</t>
  </si>
  <si>
    <t xml:space="preserve">Metodo de pago</t>
  </si>
  <si>
    <t xml:space="preserve">Código</t>
  </si>
  <si>
    <t xml:space="preserve">Nombre de la cuenta</t>
  </si>
  <si>
    <t xml:space="preserve">Saldo</t>
  </si>
  <si>
    <t xml:space="preserve">Energía eléctrica, agua y teléfono</t>
  </si>
  <si>
    <t xml:space="preserve">Nombre de cuenta</t>
  </si>
  <si>
    <t xml:space="preserve">Inventario de materiales</t>
  </si>
  <si>
    <t xml:space="preserve">Total Activo circulante</t>
  </si>
  <si>
    <t xml:space="preserve">(-) Depreciación acumulada</t>
  </si>
  <si>
    <t xml:space="preserve">Total de Activo no circulante</t>
  </si>
  <si>
    <t xml:space="preserve">ACTIVO</t>
  </si>
  <si>
    <t xml:space="preserve">Total Pasivo corto plazo</t>
  </si>
  <si>
    <t xml:space="preserve">Total Pasivo largo plazo</t>
  </si>
  <si>
    <t xml:space="preserve">Total patrimonio</t>
  </si>
  <si>
    <t xml:space="preserve">PASIVO Y PATRIMONIO</t>
  </si>
  <si>
    <t xml:space="preserve">TOTAL DE INGRESOS</t>
  </si>
  <si>
    <t xml:space="preserve">Sueldos </t>
  </si>
  <si>
    <t xml:space="preserve">Cuotas IMSS e impuestos </t>
  </si>
  <si>
    <t xml:space="preserve">Material para talleres </t>
  </si>
  <si>
    <t xml:space="preserve">Publicidad o difusión</t>
  </si>
  <si>
    <t xml:space="preserve">Apoyos al personal operativo</t>
  </si>
  <si>
    <t xml:space="preserve">TOTAL DE GASTOS</t>
  </si>
  <si>
    <t xml:space="preserve">RESULTADO DEL EJERCICIO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</si>
</sst>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m/dd/yy"/>
    <numFmt numFmtId="167" formatCode="_-\$* #,##0.00_-;&quot;-$&quot;* #,##0.00_-;_-\$* \-??_-;_-@_-"/>
    <numFmt numFmtId="168" formatCode="[$$-80A]#,##0.00;[RED]\-[$$-80A]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i val="true"/>
      <sz val="11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u val="single"/>
      <sz val="11"/>
      <color theme="1"/>
      <name val="Times New Roman"/>
      <family val="1"/>
      <charset val="1"/>
    </font>
    <font>
      <i val="true"/>
      <u val="single"/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gresos" displayName="Ingresos" ref="A1" headerRowCount="1" totalsRowCount="0" totalsRowShown="0">
  <tableColumns count="1">
    <tableColumn id="1" name="Fecha"/>
  </tableColumns>
</table>
</file>

<file path=xl/tables/table2.xml><?xml version="1.0" encoding="utf-8"?>
<table xmlns="http://schemas.openxmlformats.org/spreadsheetml/2006/main" id="2" name="Mayor" displayName="Mayor" ref="A1:E47" headerRowCount="1" totalsRowCount="0" totalsRowShown="0">
  <tableColumns count="5">
    <tableColumn id="1" name="Código"/>
    <tableColumn id="2" name="Nombre de la cuenta"/>
    <tableColumn id="3" name="Cargo"/>
    <tableColumn id="4" name="Abono"/>
    <tableColumn id="5" name="Sald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0.16015625" defaultRowHeight="12.7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5" hidden="false" customHeight="true" outlineLevel="0" collapsed="false">
      <c r="A2" s="1" t="s">
        <v>5</v>
      </c>
      <c r="B2" s="1" t="s">
        <v>6</v>
      </c>
      <c r="C2" s="1" t="s">
        <v>7</v>
      </c>
      <c r="D2" s="1" t="s">
        <v>8</v>
      </c>
    </row>
    <row r="3" customFormat="false" ht="13.5" hidden="false" customHeight="true" outlineLevel="0" collapsed="false">
      <c r="A3" s="1" t="s">
        <v>5</v>
      </c>
      <c r="B3" s="1" t="s">
        <v>9</v>
      </c>
      <c r="C3" s="1" t="s">
        <v>7</v>
      </c>
      <c r="D3" s="1" t="s">
        <v>8</v>
      </c>
    </row>
    <row r="4" customFormat="false" ht="13.5" hidden="false" customHeight="true" outlineLevel="0" collapsed="false">
      <c r="A4" s="1" t="s">
        <v>5</v>
      </c>
      <c r="B4" s="1" t="s">
        <v>10</v>
      </c>
      <c r="C4" s="1" t="s">
        <v>7</v>
      </c>
      <c r="D4" s="1" t="s">
        <v>8</v>
      </c>
    </row>
    <row r="5" customFormat="false" ht="13.5" hidden="false" customHeight="true" outlineLevel="0" collapsed="false">
      <c r="A5" s="1" t="s">
        <v>5</v>
      </c>
      <c r="B5" s="1" t="s">
        <v>11</v>
      </c>
      <c r="C5" s="1" t="s">
        <v>7</v>
      </c>
      <c r="D5" s="1" t="s">
        <v>8</v>
      </c>
    </row>
    <row r="6" customFormat="false" ht="13.5" hidden="false" customHeight="true" outlineLevel="0" collapsed="false">
      <c r="A6" s="1" t="s">
        <v>12</v>
      </c>
      <c r="B6" s="1" t="s">
        <v>6</v>
      </c>
      <c r="C6" s="1" t="s">
        <v>13</v>
      </c>
      <c r="D6" s="1" t="s">
        <v>14</v>
      </c>
    </row>
    <row r="7" customFormat="false" ht="13.5" hidden="false" customHeight="true" outlineLevel="0" collapsed="false">
      <c r="A7" s="1" t="s">
        <v>12</v>
      </c>
      <c r="B7" s="1" t="s">
        <v>9</v>
      </c>
      <c r="C7" s="1" t="s">
        <v>13</v>
      </c>
      <c r="D7" s="1" t="s">
        <v>14</v>
      </c>
    </row>
    <row r="8" customFormat="false" ht="13.5" hidden="false" customHeight="true" outlineLevel="0" collapsed="false">
      <c r="A8" s="1" t="s">
        <v>12</v>
      </c>
      <c r="B8" s="1" t="s">
        <v>10</v>
      </c>
      <c r="C8" s="1" t="s">
        <v>13</v>
      </c>
      <c r="D8" s="1" t="s">
        <v>14</v>
      </c>
    </row>
    <row r="9" customFormat="false" ht="13.5" hidden="false" customHeight="true" outlineLevel="0" collapsed="false">
      <c r="A9" s="1" t="s">
        <v>12</v>
      </c>
      <c r="B9" s="1" t="s">
        <v>11</v>
      </c>
      <c r="C9" s="1" t="s">
        <v>13</v>
      </c>
      <c r="D9" s="1" t="s">
        <v>14</v>
      </c>
    </row>
    <row r="10" customFormat="false" ht="13.5" hidden="false" customHeight="true" outlineLevel="0" collapsed="false">
      <c r="A10" s="1" t="s">
        <v>15</v>
      </c>
      <c r="B10" s="1" t="s">
        <v>6</v>
      </c>
      <c r="C10" s="1" t="s">
        <v>16</v>
      </c>
      <c r="D10" s="1" t="s">
        <v>17</v>
      </c>
      <c r="E10" s="1" t="s">
        <v>18</v>
      </c>
    </row>
    <row r="11" customFormat="false" ht="13.5" hidden="false" customHeight="true" outlineLevel="0" collapsed="false">
      <c r="A11" s="1" t="s">
        <v>15</v>
      </c>
      <c r="B11" s="1" t="s">
        <v>9</v>
      </c>
      <c r="C11" s="1" t="s">
        <v>16</v>
      </c>
      <c r="D11" s="1" t="s">
        <v>17</v>
      </c>
      <c r="E11" s="1" t="s">
        <v>18</v>
      </c>
    </row>
    <row r="12" customFormat="false" ht="13.5" hidden="false" customHeight="true" outlineLevel="0" collapsed="false">
      <c r="A12" s="1" t="s">
        <v>15</v>
      </c>
      <c r="B12" s="1" t="s">
        <v>10</v>
      </c>
      <c r="C12" s="1" t="s">
        <v>19</v>
      </c>
      <c r="D12" s="1" t="s">
        <v>17</v>
      </c>
      <c r="E12" s="1" t="s">
        <v>18</v>
      </c>
    </row>
    <row r="13" customFormat="false" ht="13.5" hidden="false" customHeight="true" outlineLevel="0" collapsed="false">
      <c r="A13" s="1" t="s">
        <v>15</v>
      </c>
      <c r="B13" s="1" t="s">
        <v>11</v>
      </c>
      <c r="C13" s="1" t="s">
        <v>19</v>
      </c>
      <c r="D13" s="1" t="s">
        <v>17</v>
      </c>
      <c r="E13" s="1" t="s">
        <v>18</v>
      </c>
    </row>
    <row r="14" customFormat="false" ht="13.5" hidden="false" customHeight="true" outlineLevel="0" collapsed="false">
      <c r="A14" s="1" t="s">
        <v>20</v>
      </c>
      <c r="B14" s="1" t="s">
        <v>6</v>
      </c>
      <c r="C14" s="1" t="s">
        <v>21</v>
      </c>
      <c r="D14" s="1" t="s">
        <v>17</v>
      </c>
      <c r="E14" s="1" t="s">
        <v>18</v>
      </c>
    </row>
    <row r="15" customFormat="false" ht="13.5" hidden="false" customHeight="true" outlineLevel="0" collapsed="false">
      <c r="A15" s="1" t="s">
        <v>20</v>
      </c>
      <c r="B15" s="1" t="s">
        <v>9</v>
      </c>
      <c r="C15" s="1" t="s">
        <v>21</v>
      </c>
      <c r="D15" s="1" t="s">
        <v>17</v>
      </c>
      <c r="E15" s="1" t="s">
        <v>18</v>
      </c>
    </row>
    <row r="16" customFormat="false" ht="13.5" hidden="false" customHeight="true" outlineLevel="0" collapsed="false">
      <c r="A16" s="1" t="s">
        <v>20</v>
      </c>
      <c r="B16" s="1" t="s">
        <v>10</v>
      </c>
      <c r="C16" s="1" t="s">
        <v>22</v>
      </c>
      <c r="D16" s="1" t="s">
        <v>17</v>
      </c>
      <c r="E16" s="1" t="s">
        <v>18</v>
      </c>
    </row>
    <row r="17" customFormat="false" ht="13.5" hidden="false" customHeight="true" outlineLevel="0" collapsed="false">
      <c r="A17" s="1" t="s">
        <v>20</v>
      </c>
      <c r="B17" s="1" t="s">
        <v>11</v>
      </c>
      <c r="C17" s="1" t="s">
        <v>22</v>
      </c>
      <c r="D17" s="1" t="s">
        <v>17</v>
      </c>
      <c r="E17" s="1" t="s">
        <v>18</v>
      </c>
    </row>
    <row r="18" customFormat="false" ht="13.5" hidden="false" customHeight="true" outlineLevel="0" collapsed="false">
      <c r="A18" s="1" t="s">
        <v>23</v>
      </c>
      <c r="B18" s="1" t="s">
        <v>6</v>
      </c>
      <c r="C18" s="1" t="s">
        <v>24</v>
      </c>
      <c r="D18" s="1" t="s">
        <v>8</v>
      </c>
    </row>
    <row r="19" customFormat="false" ht="13.5" hidden="false" customHeight="true" outlineLevel="0" collapsed="false">
      <c r="A19" s="1" t="s">
        <v>23</v>
      </c>
      <c r="B19" s="1" t="s">
        <v>9</v>
      </c>
      <c r="C19" s="1" t="s">
        <v>24</v>
      </c>
      <c r="D19" s="1" t="s">
        <v>8</v>
      </c>
    </row>
    <row r="20" customFormat="false" ht="13.5" hidden="false" customHeight="true" outlineLevel="0" collapsed="false">
      <c r="A20" s="1" t="s">
        <v>23</v>
      </c>
      <c r="B20" s="1" t="s">
        <v>10</v>
      </c>
      <c r="C20" s="1" t="s">
        <v>25</v>
      </c>
      <c r="D20" s="1" t="s">
        <v>8</v>
      </c>
    </row>
    <row r="21" customFormat="false" ht="13.5" hidden="false" customHeight="true" outlineLevel="0" collapsed="false">
      <c r="A21" s="1" t="s">
        <v>23</v>
      </c>
      <c r="B21" s="1" t="s">
        <v>11</v>
      </c>
      <c r="C21" s="1" t="s">
        <v>25</v>
      </c>
      <c r="D21" s="1" t="s">
        <v>8</v>
      </c>
    </row>
    <row r="22" customFormat="false" ht="13.5" hidden="false" customHeight="true" outlineLevel="0" collapsed="false">
      <c r="A22" s="1" t="s">
        <v>26</v>
      </c>
      <c r="B22" s="1" t="s">
        <v>6</v>
      </c>
      <c r="C22" s="1" t="s">
        <v>25</v>
      </c>
      <c r="D22" s="1" t="s">
        <v>8</v>
      </c>
    </row>
    <row r="23" customFormat="false" ht="13.5" hidden="false" customHeight="true" outlineLevel="0" collapsed="false">
      <c r="A23" s="1" t="s">
        <v>26</v>
      </c>
      <c r="B23" s="1" t="s">
        <v>9</v>
      </c>
      <c r="C23" s="1" t="s">
        <v>25</v>
      </c>
      <c r="D23" s="1" t="s">
        <v>8</v>
      </c>
    </row>
    <row r="24" customFormat="false" ht="13.5" hidden="false" customHeight="true" outlineLevel="0" collapsed="false">
      <c r="A24" s="1" t="s">
        <v>26</v>
      </c>
      <c r="B24" s="1" t="s">
        <v>10</v>
      </c>
      <c r="C24" s="1" t="s">
        <v>27</v>
      </c>
      <c r="D24" s="1" t="s">
        <v>8</v>
      </c>
    </row>
    <row r="25" customFormat="false" ht="13.5" hidden="false" customHeight="true" outlineLevel="0" collapsed="false">
      <c r="A25" s="1" t="s">
        <v>26</v>
      </c>
      <c r="B25" s="1" t="s">
        <v>11</v>
      </c>
      <c r="C25" s="1" t="s">
        <v>27</v>
      </c>
      <c r="D25" s="1" t="s">
        <v>8</v>
      </c>
    </row>
    <row r="26" customFormat="false" ht="13.5" hidden="false" customHeight="true" outlineLevel="0" collapsed="false">
      <c r="A26" s="1" t="s">
        <v>28</v>
      </c>
      <c r="B26" s="1" t="s">
        <v>6</v>
      </c>
      <c r="C26" s="1" t="s">
        <v>29</v>
      </c>
      <c r="D26" s="1" t="s">
        <v>8</v>
      </c>
    </row>
    <row r="27" customFormat="false" ht="13.5" hidden="false" customHeight="true" outlineLevel="0" collapsed="false">
      <c r="A27" s="1" t="s">
        <v>28</v>
      </c>
      <c r="B27" s="1" t="s">
        <v>9</v>
      </c>
      <c r="C27" s="1" t="s">
        <v>29</v>
      </c>
      <c r="D27" s="1" t="s">
        <v>8</v>
      </c>
    </row>
    <row r="28" customFormat="false" ht="13.5" hidden="false" customHeight="true" outlineLevel="0" collapsed="false">
      <c r="A28" s="1" t="s">
        <v>28</v>
      </c>
      <c r="B28" s="1" t="s">
        <v>10</v>
      </c>
      <c r="C28" s="1" t="s">
        <v>30</v>
      </c>
      <c r="D28" s="1" t="s">
        <v>8</v>
      </c>
    </row>
    <row r="29" customFormat="false" ht="13.5" hidden="false" customHeight="true" outlineLevel="0" collapsed="false">
      <c r="A29" s="1" t="s">
        <v>28</v>
      </c>
      <c r="B29" s="1" t="s">
        <v>11</v>
      </c>
      <c r="C29" s="1" t="s">
        <v>30</v>
      </c>
      <c r="D29" s="1" t="s">
        <v>8</v>
      </c>
    </row>
    <row r="30" customFormat="false" ht="13.5" hidden="false" customHeight="true" outlineLevel="0" collapsed="false">
      <c r="A30" s="1" t="s">
        <v>31</v>
      </c>
      <c r="B30" s="1" t="s">
        <v>6</v>
      </c>
      <c r="C30" s="1" t="s">
        <v>30</v>
      </c>
      <c r="D30" s="1" t="s">
        <v>8</v>
      </c>
    </row>
    <row r="31" customFormat="false" ht="13.5" hidden="false" customHeight="true" outlineLevel="0" collapsed="false">
      <c r="A31" s="1" t="s">
        <v>31</v>
      </c>
      <c r="B31" s="1" t="s">
        <v>9</v>
      </c>
      <c r="C31" s="1" t="s">
        <v>30</v>
      </c>
      <c r="D31" s="1" t="s">
        <v>8</v>
      </c>
    </row>
    <row r="32" customFormat="false" ht="13.5" hidden="false" customHeight="true" outlineLevel="0" collapsed="false">
      <c r="A32" s="1" t="s">
        <v>31</v>
      </c>
      <c r="B32" s="1" t="s">
        <v>10</v>
      </c>
      <c r="C32" s="1" t="s">
        <v>32</v>
      </c>
      <c r="D32" s="1" t="s">
        <v>8</v>
      </c>
    </row>
    <row r="33" customFormat="false" ht="13.5" hidden="false" customHeight="true" outlineLevel="0" collapsed="false">
      <c r="A33" s="1" t="s">
        <v>31</v>
      </c>
      <c r="B33" s="1" t="s">
        <v>11</v>
      </c>
      <c r="C33" s="1" t="s">
        <v>32</v>
      </c>
      <c r="D33" s="1" t="s">
        <v>8</v>
      </c>
    </row>
    <row r="34" customFormat="false" ht="13.5" hidden="false" customHeight="true" outlineLevel="0" collapsed="false">
      <c r="A34" s="1" t="s">
        <v>33</v>
      </c>
      <c r="B34" s="1" t="s">
        <v>6</v>
      </c>
      <c r="C34" s="1" t="s">
        <v>34</v>
      </c>
      <c r="D34" s="1" t="s">
        <v>8</v>
      </c>
    </row>
    <row r="35" customFormat="false" ht="13.5" hidden="false" customHeight="true" outlineLevel="0" collapsed="false">
      <c r="A35" s="1" t="s">
        <v>33</v>
      </c>
      <c r="B35" s="1" t="s">
        <v>9</v>
      </c>
      <c r="C35" s="1" t="s">
        <v>34</v>
      </c>
      <c r="D35" s="1" t="s">
        <v>8</v>
      </c>
    </row>
    <row r="36" customFormat="false" ht="13.5" hidden="false" customHeight="true" outlineLevel="0" collapsed="false">
      <c r="A36" s="1" t="s">
        <v>33</v>
      </c>
      <c r="B36" s="1" t="s">
        <v>10</v>
      </c>
      <c r="C36" s="1" t="s">
        <v>35</v>
      </c>
      <c r="D36" s="1" t="s">
        <v>8</v>
      </c>
    </row>
    <row r="37" customFormat="false" ht="13.5" hidden="false" customHeight="true" outlineLevel="0" collapsed="false">
      <c r="A37" s="1" t="s">
        <v>33</v>
      </c>
      <c r="B37" s="1" t="s">
        <v>11</v>
      </c>
      <c r="C37" s="1" t="s">
        <v>35</v>
      </c>
      <c r="D37" s="1" t="s">
        <v>8</v>
      </c>
    </row>
    <row r="38" customFormat="false" ht="13.5" hidden="false" customHeight="true" outlineLevel="0" collapsed="false">
      <c r="A38" s="1" t="s">
        <v>36</v>
      </c>
      <c r="B38" s="1" t="s">
        <v>6</v>
      </c>
      <c r="C38" s="1" t="s">
        <v>35</v>
      </c>
      <c r="D38" s="1" t="s">
        <v>8</v>
      </c>
    </row>
    <row r="39" customFormat="false" ht="13.5" hidden="false" customHeight="true" outlineLevel="0" collapsed="false">
      <c r="A39" s="1" t="s">
        <v>36</v>
      </c>
      <c r="B39" s="1" t="s">
        <v>9</v>
      </c>
      <c r="C39" s="1" t="s">
        <v>35</v>
      </c>
      <c r="D39" s="1" t="s">
        <v>8</v>
      </c>
    </row>
    <row r="40" customFormat="false" ht="13.5" hidden="false" customHeight="true" outlineLevel="0" collapsed="false">
      <c r="A40" s="1" t="s">
        <v>36</v>
      </c>
      <c r="B40" s="1" t="s">
        <v>10</v>
      </c>
      <c r="C40" s="1" t="s">
        <v>37</v>
      </c>
      <c r="D40" s="1" t="s">
        <v>8</v>
      </c>
    </row>
    <row r="41" customFormat="false" ht="13.5" hidden="false" customHeight="true" outlineLevel="0" collapsed="false">
      <c r="A41" s="1" t="s">
        <v>36</v>
      </c>
      <c r="B41" s="1" t="s">
        <v>11</v>
      </c>
      <c r="C41" s="1" t="s">
        <v>37</v>
      </c>
      <c r="D41" s="1" t="s">
        <v>8</v>
      </c>
    </row>
    <row r="42" customFormat="false" ht="13.5" hidden="false" customHeight="true" outlineLevel="0" collapsed="false">
      <c r="A42" s="1" t="s">
        <v>38</v>
      </c>
      <c r="B42" s="1" t="s">
        <v>6</v>
      </c>
      <c r="C42" s="1" t="s">
        <v>39</v>
      </c>
      <c r="D42" s="1" t="s">
        <v>8</v>
      </c>
    </row>
    <row r="43" customFormat="false" ht="13.5" hidden="false" customHeight="true" outlineLevel="0" collapsed="false">
      <c r="A43" s="1" t="s">
        <v>38</v>
      </c>
      <c r="B43" s="1" t="s">
        <v>9</v>
      </c>
      <c r="C43" s="1" t="s">
        <v>39</v>
      </c>
      <c r="D43" s="1" t="s">
        <v>8</v>
      </c>
    </row>
    <row r="44" customFormat="false" ht="13.5" hidden="false" customHeight="true" outlineLevel="0" collapsed="false">
      <c r="A44" s="1" t="s">
        <v>38</v>
      </c>
      <c r="B44" s="1" t="s">
        <v>10</v>
      </c>
      <c r="C44" s="1" t="s">
        <v>39</v>
      </c>
      <c r="D44" s="1" t="s">
        <v>8</v>
      </c>
    </row>
    <row r="45" customFormat="false" ht="13.5" hidden="false" customHeight="true" outlineLevel="0" collapsed="false">
      <c r="A45" s="1" t="s">
        <v>38</v>
      </c>
      <c r="B45" s="1" t="s">
        <v>11</v>
      </c>
      <c r="C45" s="1" t="s">
        <v>39</v>
      </c>
      <c r="D45" s="1" t="s">
        <v>8</v>
      </c>
    </row>
    <row r="46" customFormat="false" ht="13.5" hidden="false" customHeight="true" outlineLevel="0" collapsed="false">
      <c r="A46" s="1" t="s">
        <v>40</v>
      </c>
      <c r="B46" s="1" t="s">
        <v>6</v>
      </c>
      <c r="C46" s="1" t="s">
        <v>41</v>
      </c>
      <c r="D46" s="1" t="s">
        <v>8</v>
      </c>
    </row>
    <row r="47" customFormat="false" ht="13.5" hidden="false" customHeight="true" outlineLevel="0" collapsed="false">
      <c r="A47" s="1" t="s">
        <v>40</v>
      </c>
      <c r="B47" s="1" t="s">
        <v>9</v>
      </c>
      <c r="C47" s="1" t="s">
        <v>41</v>
      </c>
      <c r="D47" s="1" t="s">
        <v>8</v>
      </c>
    </row>
    <row r="48" customFormat="false" ht="13.5" hidden="false" customHeight="true" outlineLevel="0" collapsed="false">
      <c r="A48" s="1" t="s">
        <v>40</v>
      </c>
      <c r="B48" s="1" t="s">
        <v>10</v>
      </c>
      <c r="C48" s="1" t="s">
        <v>41</v>
      </c>
      <c r="D48" s="1" t="s">
        <v>8</v>
      </c>
    </row>
    <row r="49" customFormat="false" ht="13.5" hidden="false" customHeight="true" outlineLevel="0" collapsed="false">
      <c r="A49" s="1" t="s">
        <v>40</v>
      </c>
      <c r="B49" s="1" t="s">
        <v>11</v>
      </c>
      <c r="C49" s="1" t="s">
        <v>41</v>
      </c>
      <c r="D49" s="1" t="s">
        <v>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6"/>
  <sheetViews>
    <sheetView showFormulas="false" showGridLines="true" showRowColHeaders="true" showZeros="true" rightToLeft="false" tabSelected="false" showOutlineSymbols="true" defaultGridColor="true" view="normal" topLeftCell="L25" colorId="64" zoomScale="100" zoomScaleNormal="100" zoomScalePageLayoutView="100" workbookViewId="0">
      <selection pane="topLeft" activeCell="Y27" activeCellId="0" sqref="Y27"/>
    </sheetView>
  </sheetViews>
  <sheetFormatPr defaultColWidth="10.16015625" defaultRowHeight="13.5" zeroHeight="false" outlineLevelRow="0" outlineLevelCol="0"/>
  <cols>
    <col collapsed="false" customWidth="false" hidden="false" outlineLevel="0" max="10" min="4" style="1" width="10.16"/>
    <col collapsed="false" customWidth="false" hidden="false" outlineLevel="0" max="13" min="13" style="2" width="10.16"/>
  </cols>
  <sheetData>
    <row r="1" customFormat="false" ht="60.75" hidden="false" customHeight="true" outlineLevel="0" collapsed="false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4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</row>
    <row r="2" customFormat="false" ht="45.75" hidden="false" customHeight="true" outlineLevel="0" collapsed="false">
      <c r="A2" s="5" t="n">
        <v>4101</v>
      </c>
      <c r="B2" s="5" t="s">
        <v>64</v>
      </c>
      <c r="C2" s="5" t="s">
        <v>65</v>
      </c>
      <c r="D2" s="5" t="n">
        <v>16</v>
      </c>
      <c r="E2" s="5" t="s">
        <v>66</v>
      </c>
      <c r="F2" s="5" t="n">
        <v>0</v>
      </c>
      <c r="G2" s="5" t="n">
        <v>0</v>
      </c>
      <c r="H2" s="5" t="n">
        <v>2080</v>
      </c>
      <c r="I2" s="5" t="s">
        <v>67</v>
      </c>
      <c r="J2" s="5" t="s">
        <v>67</v>
      </c>
      <c r="K2" s="5" t="s">
        <v>68</v>
      </c>
      <c r="L2" s="5" t="s">
        <v>69</v>
      </c>
      <c r="M2" s="6" t="s">
        <v>70</v>
      </c>
      <c r="N2" s="5" t="s">
        <v>71</v>
      </c>
      <c r="O2" s="5" t="s">
        <v>72</v>
      </c>
      <c r="P2" s="5" t="s">
        <v>73</v>
      </c>
      <c r="Q2" s="1"/>
      <c r="R2" s="5" t="s">
        <v>74</v>
      </c>
      <c r="S2" s="5" t="s">
        <v>75</v>
      </c>
      <c r="T2" s="5" t="s">
        <v>76</v>
      </c>
      <c r="U2" s="5" t="n">
        <v>3</v>
      </c>
      <c r="V2" s="5" t="s">
        <v>77</v>
      </c>
    </row>
    <row r="3" customFormat="false" ht="60.75" hidden="false" customHeight="true" outlineLevel="0" collapsed="false">
      <c r="A3" s="5" t="n">
        <v>4202</v>
      </c>
      <c r="B3" s="5" t="s">
        <v>78</v>
      </c>
      <c r="C3" s="5" t="s">
        <v>79</v>
      </c>
      <c r="D3" s="5" t="n">
        <v>16</v>
      </c>
      <c r="E3" s="5" t="s">
        <v>66</v>
      </c>
      <c r="F3" s="5" t="n">
        <v>10</v>
      </c>
      <c r="G3" s="5" t="n">
        <v>10.667</v>
      </c>
      <c r="H3" s="5" t="n">
        <v>1180</v>
      </c>
      <c r="I3" s="5" t="n">
        <v>2160</v>
      </c>
      <c r="J3" s="5" t="n">
        <v>2170</v>
      </c>
      <c r="K3" s="5" t="s">
        <v>80</v>
      </c>
      <c r="L3" s="5" t="s">
        <v>81</v>
      </c>
      <c r="M3" s="6" t="n">
        <v>84111506</v>
      </c>
      <c r="N3" s="5" t="s">
        <v>82</v>
      </c>
      <c r="O3" s="5" t="s">
        <v>72</v>
      </c>
      <c r="P3" s="5" t="s">
        <v>73</v>
      </c>
      <c r="Q3" s="1"/>
      <c r="R3" s="5" t="s">
        <v>83</v>
      </c>
      <c r="S3" s="5" t="s">
        <v>84</v>
      </c>
      <c r="T3" s="5" t="s">
        <v>76</v>
      </c>
      <c r="U3" s="5" t="n">
        <v>3</v>
      </c>
      <c r="V3" s="5" t="s">
        <v>77</v>
      </c>
    </row>
    <row r="4" customFormat="false" ht="45.75" hidden="false" customHeight="true" outlineLevel="0" collapsed="false">
      <c r="A4" s="5" t="n">
        <v>5202</v>
      </c>
      <c r="B4" s="5" t="s">
        <v>85</v>
      </c>
      <c r="C4" s="5" t="s">
        <v>79</v>
      </c>
      <c r="D4" s="5" t="n">
        <v>0</v>
      </c>
      <c r="E4" s="5" t="s">
        <v>86</v>
      </c>
      <c r="F4" s="5" t="n">
        <v>10</v>
      </c>
      <c r="G4" s="5" t="n">
        <v>0</v>
      </c>
      <c r="H4" s="5" t="s">
        <v>67</v>
      </c>
      <c r="I4" s="5" t="n">
        <v>2160</v>
      </c>
      <c r="J4" s="5" t="s">
        <v>67</v>
      </c>
      <c r="K4" s="5" t="s">
        <v>80</v>
      </c>
      <c r="L4" s="5" t="s">
        <v>87</v>
      </c>
      <c r="M4" s="6" t="n">
        <v>84111506</v>
      </c>
      <c r="N4" s="5" t="s">
        <v>82</v>
      </c>
      <c r="O4" s="5" t="s">
        <v>72</v>
      </c>
      <c r="P4" s="5" t="s">
        <v>73</v>
      </c>
      <c r="Q4" s="1"/>
      <c r="R4" s="5" t="s">
        <v>83</v>
      </c>
      <c r="S4" s="5" t="s">
        <v>84</v>
      </c>
      <c r="T4" s="5" t="s">
        <v>76</v>
      </c>
      <c r="U4" s="5" t="n">
        <v>3</v>
      </c>
      <c r="V4" s="5" t="s">
        <v>77</v>
      </c>
    </row>
    <row r="5" customFormat="false" ht="45.75" hidden="false" customHeight="true" outlineLevel="0" collapsed="false">
      <c r="A5" s="5" t="n">
        <v>5101</v>
      </c>
      <c r="B5" s="5" t="s">
        <v>88</v>
      </c>
      <c r="C5" s="5" t="s">
        <v>79</v>
      </c>
      <c r="D5" s="5" t="n">
        <v>16</v>
      </c>
      <c r="E5" s="5" t="s">
        <v>66</v>
      </c>
      <c r="F5" s="5" t="n">
        <v>0</v>
      </c>
      <c r="G5" s="5" t="n">
        <v>0</v>
      </c>
      <c r="H5" s="5" t="n">
        <v>1180</v>
      </c>
      <c r="I5" s="5" t="s">
        <v>67</v>
      </c>
      <c r="J5" s="5" t="s">
        <v>67</v>
      </c>
      <c r="K5" s="5" t="s">
        <v>80</v>
      </c>
      <c r="L5" s="5" t="s">
        <v>89</v>
      </c>
      <c r="M5" s="6" t="s">
        <v>70</v>
      </c>
      <c r="N5" s="5" t="s">
        <v>90</v>
      </c>
      <c r="O5" s="5" t="s">
        <v>72</v>
      </c>
      <c r="P5" s="5" t="s">
        <v>73</v>
      </c>
      <c r="Q5" s="1"/>
      <c r="R5" s="5" t="s">
        <v>74</v>
      </c>
      <c r="S5" s="5" t="s">
        <v>75</v>
      </c>
      <c r="T5" s="5" t="s">
        <v>76</v>
      </c>
      <c r="U5" s="5" t="n">
        <v>3</v>
      </c>
      <c r="V5" s="5" t="s">
        <v>77</v>
      </c>
    </row>
    <row r="6" customFormat="false" ht="45.75" hidden="false" customHeight="true" outlineLevel="0" collapsed="false">
      <c r="A6" s="5" t="n">
        <v>6101</v>
      </c>
      <c r="B6" s="5" t="s">
        <v>91</v>
      </c>
      <c r="C6" s="5" t="s">
        <v>65</v>
      </c>
      <c r="D6" s="5" t="n">
        <v>0</v>
      </c>
      <c r="E6" s="5" t="s">
        <v>86</v>
      </c>
      <c r="F6" s="5" t="n">
        <v>0</v>
      </c>
      <c r="G6" s="5" t="n">
        <v>0</v>
      </c>
      <c r="H6" s="5" t="s">
        <v>67</v>
      </c>
      <c r="I6" s="5" t="s">
        <v>67</v>
      </c>
      <c r="J6" s="5" t="s">
        <v>67</v>
      </c>
      <c r="K6" s="5" t="s">
        <v>68</v>
      </c>
      <c r="L6" s="5" t="s">
        <v>92</v>
      </c>
      <c r="M6" s="6" t="n">
        <v>80141600</v>
      </c>
      <c r="N6" s="5" t="s">
        <v>71</v>
      </c>
      <c r="O6" s="5" t="s">
        <v>93</v>
      </c>
      <c r="P6" s="5" t="s">
        <v>77</v>
      </c>
      <c r="Q6" s="5" t="s">
        <v>94</v>
      </c>
      <c r="R6" s="5" t="s">
        <v>95</v>
      </c>
      <c r="S6" s="5" t="s">
        <v>75</v>
      </c>
      <c r="T6" s="5" t="s">
        <v>76</v>
      </c>
      <c r="U6" s="5" t="n">
        <v>3</v>
      </c>
      <c r="V6" s="5" t="s">
        <v>77</v>
      </c>
    </row>
    <row r="7" customFormat="false" ht="45.75" hidden="false" customHeight="true" outlineLevel="0" collapsed="false">
      <c r="A7" s="5" t="n">
        <v>4302</v>
      </c>
      <c r="B7" s="5" t="s">
        <v>96</v>
      </c>
      <c r="C7" s="5" t="s">
        <v>65</v>
      </c>
      <c r="D7" s="5" t="n">
        <v>0</v>
      </c>
      <c r="E7" s="5" t="s">
        <v>86</v>
      </c>
      <c r="F7" s="5" t="n">
        <v>1.25</v>
      </c>
      <c r="G7" s="5" t="n">
        <v>0</v>
      </c>
      <c r="H7" s="5" t="s">
        <v>67</v>
      </c>
      <c r="I7" s="5" t="n">
        <v>2180</v>
      </c>
      <c r="J7" s="5" t="s">
        <v>67</v>
      </c>
      <c r="K7" s="5" t="s">
        <v>68</v>
      </c>
      <c r="L7" s="5" t="s">
        <v>97</v>
      </c>
      <c r="M7" s="6" t="n">
        <v>84111506</v>
      </c>
      <c r="N7" s="5" t="s">
        <v>71</v>
      </c>
      <c r="O7" s="5" t="s">
        <v>72</v>
      </c>
      <c r="P7" s="5" t="s">
        <v>73</v>
      </c>
      <c r="Q7" s="1"/>
      <c r="R7" s="5" t="s">
        <v>74</v>
      </c>
      <c r="S7" s="5" t="s">
        <v>75</v>
      </c>
      <c r="T7" s="5" t="s">
        <v>76</v>
      </c>
      <c r="U7" s="5" t="n">
        <v>3</v>
      </c>
      <c r="V7" s="5" t="s">
        <v>77</v>
      </c>
    </row>
    <row r="8" customFormat="false" ht="60.75" hidden="false" customHeight="true" outlineLevel="0" collapsed="false">
      <c r="A8" s="5" t="n">
        <v>5203</v>
      </c>
      <c r="B8" s="5" t="s">
        <v>98</v>
      </c>
      <c r="C8" s="5" t="s">
        <v>79</v>
      </c>
      <c r="D8" s="5" t="n">
        <v>0</v>
      </c>
      <c r="E8" s="5" t="s">
        <v>86</v>
      </c>
      <c r="F8" s="5" t="n">
        <v>0</v>
      </c>
      <c r="G8" s="5" t="n">
        <v>0</v>
      </c>
      <c r="H8" s="5" t="s">
        <v>67</v>
      </c>
      <c r="I8" s="5" t="s">
        <v>67</v>
      </c>
      <c r="J8" s="5" t="s">
        <v>67</v>
      </c>
      <c r="K8" s="5" t="s">
        <v>80</v>
      </c>
      <c r="L8" s="5" t="s">
        <v>99</v>
      </c>
      <c r="M8" s="6" t="n">
        <v>84111506</v>
      </c>
      <c r="N8" s="5" t="s">
        <v>71</v>
      </c>
      <c r="O8" s="5" t="s">
        <v>72</v>
      </c>
      <c r="P8" s="5" t="s">
        <v>73</v>
      </c>
      <c r="Q8" s="1"/>
      <c r="R8" s="5" t="s">
        <v>74</v>
      </c>
      <c r="S8" s="5" t="s">
        <v>75</v>
      </c>
      <c r="T8" s="5" t="s">
        <v>76</v>
      </c>
      <c r="U8" s="5" t="n">
        <v>3</v>
      </c>
      <c r="V8" s="5" t="s">
        <v>77</v>
      </c>
    </row>
    <row r="9" customFormat="false" ht="75.75" hidden="false" customHeight="true" outlineLevel="0" collapsed="false">
      <c r="A9" s="5" t="n">
        <v>5304</v>
      </c>
      <c r="B9" s="5" t="s">
        <v>100</v>
      </c>
      <c r="C9" s="5" t="s">
        <v>79</v>
      </c>
      <c r="D9" s="5" t="n">
        <v>0</v>
      </c>
      <c r="E9" s="5" t="s">
        <v>86</v>
      </c>
      <c r="F9" s="5" t="n">
        <v>0</v>
      </c>
      <c r="G9" s="5" t="n">
        <v>0</v>
      </c>
      <c r="H9" s="5" t="s">
        <v>67</v>
      </c>
      <c r="I9" s="5" t="s">
        <v>67</v>
      </c>
      <c r="J9" s="5" t="s">
        <v>67</v>
      </c>
      <c r="K9" s="5" t="s">
        <v>80</v>
      </c>
      <c r="L9" s="5" t="s">
        <v>101</v>
      </c>
      <c r="M9" s="6" t="n">
        <v>80141600</v>
      </c>
      <c r="N9" s="5" t="s">
        <v>71</v>
      </c>
      <c r="O9" s="5" t="s">
        <v>72</v>
      </c>
      <c r="P9" s="5" t="s">
        <v>73</v>
      </c>
      <c r="Q9" s="1"/>
      <c r="R9" s="5" t="s">
        <v>74</v>
      </c>
      <c r="S9" s="5" t="s">
        <v>75</v>
      </c>
      <c r="T9" s="5" t="s">
        <v>76</v>
      </c>
      <c r="U9" s="5" t="n">
        <v>3</v>
      </c>
      <c r="V9" s="5" t="s">
        <v>77</v>
      </c>
    </row>
    <row r="10" customFormat="false" ht="60.75" hidden="false" customHeight="true" outlineLevel="0" collapsed="false">
      <c r="A10" s="5" t="n">
        <v>4203</v>
      </c>
      <c r="B10" s="5" t="s">
        <v>102</v>
      </c>
      <c r="C10" s="5" t="s">
        <v>65</v>
      </c>
      <c r="D10" s="5" t="n">
        <v>16</v>
      </c>
      <c r="E10" s="5" t="s">
        <v>66</v>
      </c>
      <c r="F10" s="5" t="n">
        <v>0</v>
      </c>
      <c r="G10" s="5" t="n">
        <v>0</v>
      </c>
      <c r="H10" s="5" t="n">
        <v>2080</v>
      </c>
      <c r="I10" s="5" t="s">
        <v>67</v>
      </c>
      <c r="J10" s="5" t="s">
        <v>67</v>
      </c>
      <c r="K10" s="5" t="s">
        <v>68</v>
      </c>
      <c r="L10" s="5" t="s">
        <v>103</v>
      </c>
      <c r="M10" s="6" t="n">
        <v>84111506</v>
      </c>
      <c r="N10" s="5" t="s">
        <v>82</v>
      </c>
      <c r="O10" s="5" t="s">
        <v>72</v>
      </c>
      <c r="P10" s="5" t="s">
        <v>73</v>
      </c>
      <c r="Q10" s="1"/>
      <c r="R10" s="5" t="s">
        <v>95</v>
      </c>
      <c r="S10" s="5" t="s">
        <v>75</v>
      </c>
      <c r="T10" s="5" t="s">
        <v>76</v>
      </c>
      <c r="U10" s="5" t="n">
        <v>3</v>
      </c>
      <c r="V10" s="5" t="s">
        <v>77</v>
      </c>
    </row>
    <row r="11" customFormat="false" ht="75.75" hidden="false" customHeight="true" outlineLevel="0" collapsed="false">
      <c r="A11" s="5" t="n">
        <v>4204</v>
      </c>
      <c r="B11" s="5" t="s">
        <v>104</v>
      </c>
      <c r="C11" s="5" t="s">
        <v>65</v>
      </c>
      <c r="D11" s="5" t="n">
        <v>16</v>
      </c>
      <c r="E11" s="5" t="s">
        <v>66</v>
      </c>
      <c r="F11" s="5" t="n">
        <v>0</v>
      </c>
      <c r="G11" s="5" t="n">
        <v>0</v>
      </c>
      <c r="H11" s="5" t="n">
        <v>2080</v>
      </c>
      <c r="I11" s="5" t="s">
        <v>67</v>
      </c>
      <c r="J11" s="5" t="s">
        <v>67</v>
      </c>
      <c r="K11" s="5" t="s">
        <v>68</v>
      </c>
      <c r="L11" s="5" t="s">
        <v>105</v>
      </c>
      <c r="M11" s="6" t="n">
        <v>84111506</v>
      </c>
      <c r="N11" s="5" t="s">
        <v>82</v>
      </c>
      <c r="O11" s="5" t="s">
        <v>72</v>
      </c>
      <c r="P11" s="5" t="s">
        <v>73</v>
      </c>
      <c r="Q11" s="1"/>
      <c r="R11" s="5" t="s">
        <v>95</v>
      </c>
      <c r="S11" s="5" t="s">
        <v>75</v>
      </c>
      <c r="T11" s="5" t="s">
        <v>76</v>
      </c>
      <c r="U11" s="5" t="n">
        <v>3</v>
      </c>
      <c r="V11" s="5" t="s">
        <v>77</v>
      </c>
    </row>
    <row r="12" customFormat="false" ht="30.75" hidden="false" customHeight="true" outlineLevel="0" collapsed="false">
      <c r="A12" s="5" t="n">
        <v>5102</v>
      </c>
      <c r="B12" s="5" t="s">
        <v>106</v>
      </c>
      <c r="C12" s="5" t="s">
        <v>79</v>
      </c>
      <c r="D12" s="5" t="n">
        <v>16</v>
      </c>
      <c r="E12" s="5" t="s">
        <v>66</v>
      </c>
      <c r="F12" s="5" t="n">
        <v>0</v>
      </c>
      <c r="G12" s="5" t="n">
        <v>0</v>
      </c>
      <c r="H12" s="5" t="n">
        <v>1180</v>
      </c>
      <c r="I12" s="5" t="s">
        <v>67</v>
      </c>
      <c r="J12" s="5" t="s">
        <v>67</v>
      </c>
      <c r="K12" s="5" t="s">
        <v>80</v>
      </c>
      <c r="L12" s="5" t="s">
        <v>107</v>
      </c>
      <c r="M12" s="6" t="s">
        <v>70</v>
      </c>
      <c r="N12" s="5" t="s">
        <v>71</v>
      </c>
      <c r="O12" s="5" t="s">
        <v>72</v>
      </c>
      <c r="P12" s="5" t="s">
        <v>73</v>
      </c>
      <c r="Q12" s="1"/>
      <c r="R12" s="5" t="s">
        <v>74</v>
      </c>
      <c r="S12" s="5" t="s">
        <v>75</v>
      </c>
      <c r="T12" s="5" t="s">
        <v>76</v>
      </c>
      <c r="U12" s="5" t="n">
        <v>3</v>
      </c>
      <c r="V12" s="5" t="s">
        <v>77</v>
      </c>
    </row>
    <row r="13" customFormat="false" ht="45.75" hidden="false" customHeight="true" outlineLevel="0" collapsed="false">
      <c r="A13" s="5" t="n">
        <v>5103</v>
      </c>
      <c r="B13" s="5" t="s">
        <v>108</v>
      </c>
      <c r="C13" s="5" t="s">
        <v>79</v>
      </c>
      <c r="D13" s="5" t="n">
        <v>16</v>
      </c>
      <c r="E13" s="5" t="s">
        <v>66</v>
      </c>
      <c r="F13" s="5" t="n">
        <v>0</v>
      </c>
      <c r="G13" s="5" t="n">
        <v>0</v>
      </c>
      <c r="H13" s="5" t="n">
        <v>1180</v>
      </c>
      <c r="I13" s="5" t="s">
        <v>67</v>
      </c>
      <c r="J13" s="5" t="s">
        <v>67</v>
      </c>
      <c r="K13" s="5" t="s">
        <v>80</v>
      </c>
      <c r="L13" s="5" t="s">
        <v>109</v>
      </c>
      <c r="M13" s="6" t="n">
        <v>80131500</v>
      </c>
      <c r="N13" s="5" t="s">
        <v>71</v>
      </c>
      <c r="O13" s="5" t="s">
        <v>72</v>
      </c>
      <c r="P13" s="5" t="s">
        <v>73</v>
      </c>
      <c r="Q13" s="1"/>
      <c r="R13" s="5" t="s">
        <v>74</v>
      </c>
      <c r="S13" s="5" t="s">
        <v>75</v>
      </c>
      <c r="T13" s="5" t="s">
        <v>76</v>
      </c>
      <c r="U13" s="5" t="n">
        <v>3</v>
      </c>
      <c r="V13" s="5" t="s">
        <v>77</v>
      </c>
    </row>
    <row r="14" customFormat="false" ht="75.75" hidden="false" customHeight="true" outlineLevel="0" collapsed="false">
      <c r="A14" s="5" t="n">
        <v>5104</v>
      </c>
      <c r="B14" s="5" t="s">
        <v>110</v>
      </c>
      <c r="C14" s="5" t="s">
        <v>79</v>
      </c>
      <c r="D14" s="5" t="n">
        <v>16</v>
      </c>
      <c r="E14" s="5" t="s">
        <v>66</v>
      </c>
      <c r="F14" s="5" t="n">
        <v>0</v>
      </c>
      <c r="G14" s="5" t="n">
        <v>0</v>
      </c>
      <c r="H14" s="5" t="n">
        <v>1180</v>
      </c>
      <c r="I14" s="5" t="s">
        <v>67</v>
      </c>
      <c r="J14" s="5" t="s">
        <v>67</v>
      </c>
      <c r="K14" s="5" t="s">
        <v>80</v>
      </c>
      <c r="L14" s="5" t="s">
        <v>111</v>
      </c>
      <c r="M14" s="6" t="s">
        <v>70</v>
      </c>
      <c r="N14" s="5" t="s">
        <v>90</v>
      </c>
      <c r="O14" s="5" t="s">
        <v>72</v>
      </c>
      <c r="P14" s="5" t="s">
        <v>73</v>
      </c>
      <c r="Q14" s="1"/>
      <c r="R14" s="5" t="s">
        <v>74</v>
      </c>
      <c r="S14" s="5" t="s">
        <v>75</v>
      </c>
      <c r="T14" s="5" t="s">
        <v>76</v>
      </c>
      <c r="U14" s="5" t="n">
        <v>3</v>
      </c>
      <c r="V14" s="5" t="s">
        <v>77</v>
      </c>
    </row>
    <row r="15" customFormat="false" ht="45.75" hidden="false" customHeight="true" outlineLevel="0" collapsed="false">
      <c r="A15" s="5" t="n">
        <v>5105</v>
      </c>
      <c r="B15" s="5" t="s">
        <v>112</v>
      </c>
      <c r="C15" s="5" t="s">
        <v>79</v>
      </c>
      <c r="D15" s="5" t="n">
        <v>16</v>
      </c>
      <c r="E15" s="5" t="s">
        <v>66</v>
      </c>
      <c r="F15" s="5" t="n">
        <v>0</v>
      </c>
      <c r="G15" s="5" t="n">
        <v>0</v>
      </c>
      <c r="H15" s="5" t="n">
        <v>1180</v>
      </c>
      <c r="I15" s="5" t="s">
        <v>67</v>
      </c>
      <c r="J15" s="5" t="s">
        <v>67</v>
      </c>
      <c r="K15" s="5" t="s">
        <v>80</v>
      </c>
      <c r="L15" s="5" t="s">
        <v>113</v>
      </c>
      <c r="M15" s="6" t="s">
        <v>70</v>
      </c>
      <c r="N15" s="5" t="s">
        <v>90</v>
      </c>
      <c r="O15" s="5" t="s">
        <v>72</v>
      </c>
      <c r="P15" s="5" t="s">
        <v>73</v>
      </c>
      <c r="Q15" s="1"/>
      <c r="R15" s="5" t="s">
        <v>74</v>
      </c>
      <c r="S15" s="5" t="s">
        <v>75</v>
      </c>
      <c r="T15" s="5" t="s">
        <v>76</v>
      </c>
      <c r="U15" s="5" t="n">
        <v>3</v>
      </c>
      <c r="V15" s="5" t="s">
        <v>77</v>
      </c>
    </row>
    <row r="16" customFormat="false" ht="45.75" hidden="false" customHeight="true" outlineLevel="0" collapsed="false">
      <c r="A16" s="5" t="n">
        <v>5201</v>
      </c>
      <c r="B16" s="5" t="s">
        <v>114</v>
      </c>
      <c r="C16" s="5" t="s">
        <v>79</v>
      </c>
      <c r="D16" s="5" t="n">
        <v>0</v>
      </c>
      <c r="E16" s="5" t="s">
        <v>86</v>
      </c>
      <c r="F16" s="5" t="n">
        <v>10</v>
      </c>
      <c r="G16" s="5" t="n">
        <v>0</v>
      </c>
      <c r="H16" s="5" t="s">
        <v>67</v>
      </c>
      <c r="I16" s="5" t="n">
        <v>2160</v>
      </c>
      <c r="J16" s="5" t="s">
        <v>67</v>
      </c>
      <c r="K16" s="5" t="s">
        <v>80</v>
      </c>
      <c r="L16" s="5" t="s">
        <v>115</v>
      </c>
      <c r="M16" s="6" t="n">
        <v>84111506</v>
      </c>
      <c r="N16" s="5" t="s">
        <v>71</v>
      </c>
      <c r="O16" s="5" t="s">
        <v>72</v>
      </c>
      <c r="P16" s="5" t="s">
        <v>73</v>
      </c>
      <c r="Q16" s="5" t="s">
        <v>116</v>
      </c>
      <c r="R16" s="5" t="s">
        <v>74</v>
      </c>
      <c r="S16" s="5" t="s">
        <v>75</v>
      </c>
      <c r="T16" s="5" t="s">
        <v>76</v>
      </c>
      <c r="U16" s="5" t="n">
        <v>3</v>
      </c>
      <c r="V16" s="5" t="s">
        <v>77</v>
      </c>
    </row>
    <row r="17" customFormat="false" ht="105.75" hidden="false" customHeight="true" outlineLevel="0" collapsed="false">
      <c r="A17" s="5" t="n">
        <v>5401</v>
      </c>
      <c r="B17" s="5" t="s">
        <v>117</v>
      </c>
      <c r="C17" s="5" t="s">
        <v>79</v>
      </c>
      <c r="D17" s="5" t="n">
        <v>0</v>
      </c>
      <c r="E17" s="5" t="s">
        <v>86</v>
      </c>
      <c r="F17" s="5" t="n">
        <v>0</v>
      </c>
      <c r="G17" s="5" t="n">
        <v>0</v>
      </c>
      <c r="H17" s="5" t="s">
        <v>67</v>
      </c>
      <c r="I17" s="5" t="s">
        <v>67</v>
      </c>
      <c r="J17" s="5" t="s">
        <v>67</v>
      </c>
      <c r="K17" s="5" t="s">
        <v>80</v>
      </c>
      <c r="L17" s="5" t="s">
        <v>118</v>
      </c>
      <c r="M17" s="6" t="n">
        <v>80141600</v>
      </c>
      <c r="N17" s="5" t="s">
        <v>71</v>
      </c>
      <c r="O17" s="5" t="s">
        <v>72</v>
      </c>
      <c r="P17" s="5" t="s">
        <v>73</v>
      </c>
      <c r="Q17" s="1"/>
      <c r="R17" s="5" t="s">
        <v>95</v>
      </c>
      <c r="S17" s="5" t="s">
        <v>75</v>
      </c>
      <c r="T17" s="5" t="s">
        <v>76</v>
      </c>
      <c r="U17" s="5" t="n">
        <v>3</v>
      </c>
      <c r="V17" s="5" t="s">
        <v>77</v>
      </c>
    </row>
    <row r="18" customFormat="false" ht="45.75" hidden="false" customHeight="true" outlineLevel="0" collapsed="false">
      <c r="A18" s="5" t="n">
        <v>5402</v>
      </c>
      <c r="B18" s="5" t="s">
        <v>119</v>
      </c>
      <c r="C18" s="5" t="s">
        <v>79</v>
      </c>
      <c r="D18" s="5" t="n">
        <v>0</v>
      </c>
      <c r="E18" s="5" t="s">
        <v>86</v>
      </c>
      <c r="F18" s="5" t="n">
        <v>0</v>
      </c>
      <c r="G18" s="5" t="n">
        <v>0</v>
      </c>
      <c r="H18" s="5" t="s">
        <v>67</v>
      </c>
      <c r="I18" s="5" t="s">
        <v>67</v>
      </c>
      <c r="J18" s="5" t="s">
        <v>67</v>
      </c>
      <c r="K18" s="5" t="s">
        <v>80</v>
      </c>
      <c r="L18" s="5" t="s">
        <v>120</v>
      </c>
      <c r="M18" s="6" t="n">
        <v>84111506</v>
      </c>
      <c r="N18" s="5" t="s">
        <v>71</v>
      </c>
      <c r="O18" s="5" t="s">
        <v>72</v>
      </c>
      <c r="P18" s="5" t="s">
        <v>73</v>
      </c>
      <c r="Q18" s="1"/>
      <c r="R18" s="5" t="s">
        <v>95</v>
      </c>
      <c r="S18" s="5" t="s">
        <v>75</v>
      </c>
      <c r="T18" s="5" t="s">
        <v>76</v>
      </c>
      <c r="U18" s="5" t="n">
        <v>3</v>
      </c>
      <c r="V18" s="5" t="s">
        <v>77</v>
      </c>
    </row>
    <row r="19" customFormat="false" ht="75.75" hidden="false" customHeight="true" outlineLevel="0" collapsed="false">
      <c r="A19" s="5" t="n">
        <v>5403</v>
      </c>
      <c r="B19" s="5" t="s">
        <v>121</v>
      </c>
      <c r="C19" s="5" t="s">
        <v>79</v>
      </c>
      <c r="D19" s="5" t="n">
        <v>16</v>
      </c>
      <c r="E19" s="5" t="s">
        <v>66</v>
      </c>
      <c r="F19" s="5" t="n">
        <v>0</v>
      </c>
      <c r="G19" s="5" t="n">
        <v>0</v>
      </c>
      <c r="H19" s="5" t="n">
        <v>1180</v>
      </c>
      <c r="I19" s="5" t="s">
        <v>67</v>
      </c>
      <c r="J19" s="5" t="s">
        <v>67</v>
      </c>
      <c r="K19" s="5" t="s">
        <v>80</v>
      </c>
      <c r="L19" s="5" t="s">
        <v>122</v>
      </c>
      <c r="M19" s="6" t="s">
        <v>70</v>
      </c>
      <c r="N19" s="5" t="s">
        <v>90</v>
      </c>
      <c r="O19" s="5" t="s">
        <v>72</v>
      </c>
      <c r="P19" s="5" t="s">
        <v>73</v>
      </c>
      <c r="Q19" s="1"/>
      <c r="R19" s="5" t="s">
        <v>95</v>
      </c>
      <c r="S19" s="5" t="s">
        <v>75</v>
      </c>
      <c r="T19" s="5" t="s">
        <v>76</v>
      </c>
      <c r="U19" s="5" t="n">
        <v>3</v>
      </c>
      <c r="V19" s="5" t="s">
        <v>77</v>
      </c>
    </row>
    <row r="20" customFormat="false" ht="60.75" hidden="false" customHeight="true" outlineLevel="0" collapsed="false">
      <c r="A20" s="5" t="n">
        <v>5404</v>
      </c>
      <c r="B20" s="5" t="s">
        <v>123</v>
      </c>
      <c r="C20" s="5" t="s">
        <v>79</v>
      </c>
      <c r="D20" s="5" t="n">
        <v>16</v>
      </c>
      <c r="E20" s="5" t="s">
        <v>66</v>
      </c>
      <c r="F20" s="5" t="n">
        <v>0</v>
      </c>
      <c r="G20" s="5" t="n">
        <v>0</v>
      </c>
      <c r="H20" s="5" t="n">
        <v>1180</v>
      </c>
      <c r="I20" s="5" t="s">
        <v>67</v>
      </c>
      <c r="J20" s="5" t="s">
        <v>67</v>
      </c>
      <c r="K20" s="5" t="s">
        <v>80</v>
      </c>
      <c r="L20" s="5" t="s">
        <v>124</v>
      </c>
      <c r="M20" s="6" t="s">
        <v>70</v>
      </c>
      <c r="N20" s="5" t="s">
        <v>90</v>
      </c>
      <c r="O20" s="5" t="s">
        <v>72</v>
      </c>
      <c r="P20" s="5" t="s">
        <v>73</v>
      </c>
      <c r="Q20" s="1"/>
      <c r="R20" s="5" t="s">
        <v>95</v>
      </c>
      <c r="S20" s="5" t="s">
        <v>75</v>
      </c>
      <c r="T20" s="5" t="s">
        <v>76</v>
      </c>
      <c r="U20" s="5" t="n">
        <v>3</v>
      </c>
      <c r="V20" s="5" t="s">
        <v>77</v>
      </c>
    </row>
    <row r="21" customFormat="false" ht="45.75" hidden="false" customHeight="true" outlineLevel="0" collapsed="false">
      <c r="A21" s="5" t="n">
        <v>5405</v>
      </c>
      <c r="B21" s="5" t="s">
        <v>125</v>
      </c>
      <c r="C21" s="5" t="s">
        <v>79</v>
      </c>
      <c r="D21" s="5" t="n">
        <v>0</v>
      </c>
      <c r="E21" s="5" t="s">
        <v>86</v>
      </c>
      <c r="F21" s="5" t="n">
        <v>0</v>
      </c>
      <c r="G21" s="5" t="n">
        <v>0</v>
      </c>
      <c r="H21" s="5" t="s">
        <v>67</v>
      </c>
      <c r="I21" s="5" t="s">
        <v>67</v>
      </c>
      <c r="J21" s="5" t="s">
        <v>67</v>
      </c>
      <c r="K21" s="5" t="s">
        <v>80</v>
      </c>
      <c r="L21" s="5" t="s">
        <v>126</v>
      </c>
      <c r="M21" s="6" t="n">
        <v>80141600</v>
      </c>
      <c r="N21" s="5" t="s">
        <v>71</v>
      </c>
      <c r="O21" s="5" t="s">
        <v>72</v>
      </c>
      <c r="P21" s="5" t="s">
        <v>73</v>
      </c>
      <c r="Q21" s="1"/>
      <c r="R21" s="5" t="s">
        <v>95</v>
      </c>
      <c r="S21" s="5" t="s">
        <v>75</v>
      </c>
      <c r="T21" s="5" t="s">
        <v>76</v>
      </c>
      <c r="U21" s="5" t="n">
        <v>3</v>
      </c>
      <c r="V21" s="5" t="s">
        <v>77</v>
      </c>
    </row>
    <row r="22" customFormat="false" ht="60.75" hidden="false" customHeight="true" outlineLevel="0" collapsed="false">
      <c r="A22" s="5" t="n">
        <v>4301</v>
      </c>
      <c r="B22" s="5" t="s">
        <v>127</v>
      </c>
      <c r="C22" s="5" t="s">
        <v>65</v>
      </c>
      <c r="D22" s="5" t="n">
        <v>0</v>
      </c>
      <c r="E22" s="5" t="s">
        <v>86</v>
      </c>
      <c r="F22" s="5" t="n">
        <v>0</v>
      </c>
      <c r="G22" s="5" t="n">
        <v>0</v>
      </c>
      <c r="H22" s="5" t="s">
        <v>67</v>
      </c>
      <c r="I22" s="5" t="s">
        <v>67</v>
      </c>
      <c r="J22" s="5" t="s">
        <v>67</v>
      </c>
      <c r="K22" s="5" t="s">
        <v>68</v>
      </c>
      <c r="L22" s="5" t="s">
        <v>128</v>
      </c>
      <c r="M22" s="6" t="s">
        <v>70</v>
      </c>
      <c r="N22" s="5" t="s">
        <v>71</v>
      </c>
      <c r="O22" s="5" t="s">
        <v>72</v>
      </c>
      <c r="P22" s="5" t="s">
        <v>73</v>
      </c>
      <c r="Q22" s="1"/>
      <c r="R22" s="5" t="s">
        <v>74</v>
      </c>
      <c r="S22" s="5" t="s">
        <v>75</v>
      </c>
      <c r="T22" s="5" t="s">
        <v>76</v>
      </c>
      <c r="U22" s="5" t="n">
        <v>3</v>
      </c>
      <c r="V22" s="5" t="s">
        <v>77</v>
      </c>
    </row>
    <row r="23" customFormat="false" ht="75.75" hidden="false" customHeight="true" outlineLevel="0" collapsed="false">
      <c r="A23" s="5" t="n">
        <v>4201</v>
      </c>
      <c r="B23" s="5" t="s">
        <v>129</v>
      </c>
      <c r="C23" s="5" t="s">
        <v>65</v>
      </c>
      <c r="D23" s="5" t="n">
        <v>16</v>
      </c>
      <c r="E23" s="5" t="s">
        <v>66</v>
      </c>
      <c r="F23" s="5" t="n">
        <v>0</v>
      </c>
      <c r="G23" s="5" t="n">
        <v>0</v>
      </c>
      <c r="H23" s="5" t="n">
        <v>2080</v>
      </c>
      <c r="I23" s="5" t="s">
        <v>67</v>
      </c>
      <c r="J23" s="5" t="s">
        <v>67</v>
      </c>
      <c r="K23" s="5" t="s">
        <v>68</v>
      </c>
      <c r="L23" s="5" t="s">
        <v>130</v>
      </c>
      <c r="M23" s="6" t="s">
        <v>70</v>
      </c>
      <c r="N23" s="5" t="s">
        <v>90</v>
      </c>
      <c r="O23" s="5" t="s">
        <v>72</v>
      </c>
      <c r="P23" s="5" t="s">
        <v>73</v>
      </c>
      <c r="Q23" s="1"/>
      <c r="R23" s="5" t="s">
        <v>95</v>
      </c>
      <c r="S23" s="5" t="s">
        <v>75</v>
      </c>
      <c r="T23" s="5" t="s">
        <v>76</v>
      </c>
      <c r="U23" s="5" t="n">
        <v>3</v>
      </c>
      <c r="V23" s="5" t="s">
        <v>77</v>
      </c>
    </row>
    <row r="24" customFormat="false" ht="30.75" hidden="false" customHeight="true" outlineLevel="0" collapsed="false">
      <c r="A24" s="5" t="n">
        <v>4303</v>
      </c>
      <c r="B24" s="5" t="s">
        <v>131</v>
      </c>
      <c r="C24" s="5" t="s">
        <v>65</v>
      </c>
      <c r="D24" s="5" t="n">
        <v>16</v>
      </c>
      <c r="E24" s="5" t="s">
        <v>66</v>
      </c>
      <c r="F24" s="5" t="n">
        <v>0</v>
      </c>
      <c r="G24" s="5" t="n">
        <v>0</v>
      </c>
      <c r="H24" s="5" t="n">
        <v>2080</v>
      </c>
      <c r="I24" s="5" t="s">
        <v>67</v>
      </c>
      <c r="J24" s="5" t="s">
        <v>67</v>
      </c>
      <c r="K24" s="5" t="s">
        <v>68</v>
      </c>
      <c r="L24" s="5" t="s">
        <v>132</v>
      </c>
      <c r="M24" s="6" t="s">
        <v>70</v>
      </c>
      <c r="N24" s="5" t="s">
        <v>71</v>
      </c>
      <c r="O24" s="5" t="s">
        <v>72</v>
      </c>
      <c r="P24" s="5" t="s">
        <v>73</v>
      </c>
      <c r="Q24" s="1"/>
      <c r="R24" s="5" t="s">
        <v>95</v>
      </c>
      <c r="S24" s="5" t="s">
        <v>75</v>
      </c>
      <c r="T24" s="5" t="s">
        <v>76</v>
      </c>
      <c r="U24" s="5" t="n">
        <v>3</v>
      </c>
      <c r="V24" s="5" t="s">
        <v>77</v>
      </c>
    </row>
    <row r="25" customFormat="false" ht="75.75" hidden="false" customHeight="true" outlineLevel="0" collapsed="false">
      <c r="A25" s="5" t="n">
        <v>5106</v>
      </c>
      <c r="B25" s="5" t="s">
        <v>133</v>
      </c>
      <c r="C25" s="5" t="s">
        <v>79</v>
      </c>
      <c r="D25" s="5" t="n">
        <v>16</v>
      </c>
      <c r="E25" s="5" t="s">
        <v>66</v>
      </c>
      <c r="F25" s="5" t="n">
        <v>0</v>
      </c>
      <c r="G25" s="5" t="n">
        <v>0</v>
      </c>
      <c r="H25" s="5" t="n">
        <v>1180</v>
      </c>
      <c r="I25" s="5" t="s">
        <v>67</v>
      </c>
      <c r="J25" s="5" t="s">
        <v>67</v>
      </c>
      <c r="K25" s="5" t="s">
        <v>80</v>
      </c>
      <c r="L25" s="5" t="s">
        <v>134</v>
      </c>
      <c r="M25" s="6" t="s">
        <v>70</v>
      </c>
      <c r="N25" s="5" t="s">
        <v>90</v>
      </c>
      <c r="O25" s="5" t="s">
        <v>72</v>
      </c>
      <c r="P25" s="5" t="s">
        <v>73</v>
      </c>
      <c r="Q25" s="1"/>
      <c r="R25" s="5" t="s">
        <v>95</v>
      </c>
      <c r="S25" s="5" t="s">
        <v>75</v>
      </c>
      <c r="T25" s="5" t="s">
        <v>76</v>
      </c>
      <c r="U25" s="5" t="n">
        <v>3</v>
      </c>
      <c r="V25" s="5" t="s">
        <v>77</v>
      </c>
    </row>
    <row r="26" customFormat="false" ht="60.75" hidden="false" customHeight="true" outlineLevel="0" collapsed="false">
      <c r="A26" s="5" t="n">
        <v>5204</v>
      </c>
      <c r="B26" s="5" t="s">
        <v>135</v>
      </c>
      <c r="C26" s="5" t="s">
        <v>79</v>
      </c>
      <c r="D26" s="5" t="n">
        <v>0</v>
      </c>
      <c r="E26" s="5" t="s">
        <v>86</v>
      </c>
      <c r="F26" s="5" t="n">
        <v>0</v>
      </c>
      <c r="G26" s="5" t="n">
        <v>0</v>
      </c>
      <c r="H26" s="5" t="s">
        <v>67</v>
      </c>
      <c r="I26" s="5" t="s">
        <v>67</v>
      </c>
      <c r="J26" s="5" t="s">
        <v>67</v>
      </c>
      <c r="K26" s="5" t="s">
        <v>80</v>
      </c>
      <c r="L26" s="5" t="s">
        <v>136</v>
      </c>
      <c r="M26" s="6" t="n">
        <v>84111506</v>
      </c>
      <c r="N26" s="5" t="s">
        <v>71</v>
      </c>
      <c r="O26" s="5" t="s">
        <v>72</v>
      </c>
      <c r="P26" s="5" t="s">
        <v>73</v>
      </c>
      <c r="Q26" s="1"/>
      <c r="R26" s="5" t="s">
        <v>74</v>
      </c>
      <c r="S26" s="5" t="s">
        <v>75</v>
      </c>
      <c r="T26" s="5" t="s">
        <v>76</v>
      </c>
      <c r="U26" s="5" t="n">
        <v>3</v>
      </c>
      <c r="V26" s="5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2"/>
  <sheetViews>
    <sheetView showFormulas="false" showGridLines="true" showRowColHeaders="true" showZeros="true" rightToLeft="false" tabSelected="false" showOutlineSymbols="true" defaultGridColor="true" view="normal" topLeftCell="H51" colorId="64" zoomScale="100" zoomScaleNormal="100" zoomScalePageLayoutView="100" workbookViewId="0">
      <selection pane="topLeft" activeCell="R69" activeCellId="0" sqref="R69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38.14"/>
    <col collapsed="false" customWidth="true" hidden="false" outlineLevel="0" max="3" min="3" style="1" width="32.72"/>
    <col collapsed="false" customWidth="true" hidden="false" outlineLevel="0" max="4" min="4" style="7" width="11.43"/>
    <col collapsed="false" customWidth="true" hidden="false" outlineLevel="0" max="5" min="5" style="7" width="20.86"/>
    <col collapsed="false" customWidth="true" hidden="false" outlineLevel="0" max="6" min="6" style="7" width="11.43"/>
    <col collapsed="false" customWidth="true" hidden="false" outlineLevel="0" max="7" min="7" style="1" width="56"/>
    <col collapsed="false" customWidth="true" hidden="false" outlineLevel="0" max="8" min="8" style="8" width="33.14"/>
  </cols>
  <sheetData>
    <row r="1" customFormat="false" ht="15" hidden="false" customHeight="true" outlineLevel="0" collapsed="false">
      <c r="A1" s="9" t="s">
        <v>42</v>
      </c>
      <c r="B1" s="10" t="s">
        <v>137</v>
      </c>
      <c r="C1" s="10" t="s">
        <v>138</v>
      </c>
      <c r="D1" s="10" t="s">
        <v>139</v>
      </c>
      <c r="E1" s="10" t="s">
        <v>140</v>
      </c>
      <c r="F1" s="10" t="s">
        <v>141</v>
      </c>
      <c r="G1" s="10" t="s">
        <v>142</v>
      </c>
      <c r="H1" s="9" t="s">
        <v>143</v>
      </c>
      <c r="I1" s="11" t="s">
        <v>144</v>
      </c>
    </row>
    <row r="2" customFormat="false" ht="15" hidden="false" customHeight="true" outlineLevel="0" collapsed="false">
      <c r="A2" s="12" t="n">
        <v>1101</v>
      </c>
      <c r="B2" s="13" t="s">
        <v>145</v>
      </c>
      <c r="C2" s="13" t="s">
        <v>145</v>
      </c>
      <c r="D2" s="14" t="s">
        <v>146</v>
      </c>
      <c r="E2" s="14" t="s">
        <v>147</v>
      </c>
      <c r="F2" s="14" t="s">
        <v>148</v>
      </c>
      <c r="G2" s="13" t="s">
        <v>149</v>
      </c>
      <c r="H2" s="12" t="s">
        <v>150</v>
      </c>
      <c r="I2" s="1" t="s">
        <v>151</v>
      </c>
    </row>
    <row r="3" customFormat="false" ht="15" hidden="false" customHeight="true" outlineLevel="0" collapsed="false">
      <c r="A3" s="12" t="n">
        <v>1102</v>
      </c>
      <c r="B3" s="13" t="s">
        <v>152</v>
      </c>
      <c r="C3" s="13" t="s">
        <v>152</v>
      </c>
      <c r="D3" s="14" t="s">
        <v>146</v>
      </c>
      <c r="E3" s="14" t="s">
        <v>147</v>
      </c>
      <c r="F3" s="14" t="s">
        <v>148</v>
      </c>
      <c r="G3" s="13" t="s">
        <v>153</v>
      </c>
      <c r="H3" s="12" t="s">
        <v>150</v>
      </c>
      <c r="I3" s="1" t="s">
        <v>151</v>
      </c>
    </row>
    <row r="4" customFormat="false" ht="15" hidden="false" customHeight="true" outlineLevel="0" collapsed="false">
      <c r="A4" s="12" t="n">
        <v>1103</v>
      </c>
      <c r="B4" s="13" t="s">
        <v>154</v>
      </c>
      <c r="C4" s="13" t="s">
        <v>155</v>
      </c>
      <c r="D4" s="14" t="s">
        <v>146</v>
      </c>
      <c r="E4" s="14" t="s">
        <v>147</v>
      </c>
      <c r="F4" s="14" t="s">
        <v>148</v>
      </c>
      <c r="G4" s="13" t="s">
        <v>156</v>
      </c>
      <c r="H4" s="12" t="s">
        <v>150</v>
      </c>
      <c r="I4" s="1" t="s">
        <v>151</v>
      </c>
    </row>
    <row r="5" customFormat="false" ht="15" hidden="false" customHeight="true" outlineLevel="0" collapsed="false">
      <c r="A5" s="12" t="n">
        <v>1104</v>
      </c>
      <c r="B5" s="13" t="s">
        <v>157</v>
      </c>
      <c r="C5" s="13" t="s">
        <v>158</v>
      </c>
      <c r="D5" s="14" t="s">
        <v>146</v>
      </c>
      <c r="E5" s="14" t="s">
        <v>147</v>
      </c>
      <c r="F5" s="14" t="s">
        <v>148</v>
      </c>
      <c r="G5" s="13" t="s">
        <v>159</v>
      </c>
      <c r="H5" s="12" t="s">
        <v>150</v>
      </c>
      <c r="I5" s="1" t="s">
        <v>151</v>
      </c>
    </row>
    <row r="6" customFormat="false" ht="15" hidden="false" customHeight="true" outlineLevel="0" collapsed="false">
      <c r="A6" s="12" t="n">
        <v>1105</v>
      </c>
      <c r="B6" s="13" t="s">
        <v>160</v>
      </c>
      <c r="C6" s="13" t="s">
        <v>160</v>
      </c>
      <c r="D6" s="14" t="s">
        <v>146</v>
      </c>
      <c r="E6" s="14" t="s">
        <v>147</v>
      </c>
      <c r="F6" s="14" t="s">
        <v>148</v>
      </c>
      <c r="G6" s="13" t="s">
        <v>161</v>
      </c>
      <c r="H6" s="12" t="s">
        <v>150</v>
      </c>
      <c r="I6" s="1" t="s">
        <v>151</v>
      </c>
    </row>
    <row r="7" customFormat="false" ht="15" hidden="false" customHeight="true" outlineLevel="0" collapsed="false">
      <c r="A7" s="12" t="n">
        <v>1106</v>
      </c>
      <c r="B7" s="13" t="s">
        <v>162</v>
      </c>
      <c r="C7" s="13" t="s">
        <v>163</v>
      </c>
      <c r="D7" s="14" t="s">
        <v>146</v>
      </c>
      <c r="E7" s="14" t="s">
        <v>147</v>
      </c>
      <c r="F7" s="14" t="s">
        <v>148</v>
      </c>
      <c r="G7" s="13" t="s">
        <v>164</v>
      </c>
      <c r="H7" s="12" t="s">
        <v>150</v>
      </c>
      <c r="I7" s="1" t="s">
        <v>151</v>
      </c>
    </row>
    <row r="8" customFormat="false" ht="15" hidden="false" customHeight="true" outlineLevel="0" collapsed="false">
      <c r="A8" s="12" t="n">
        <v>1201</v>
      </c>
      <c r="B8" s="13" t="s">
        <v>165</v>
      </c>
      <c r="C8" s="13" t="s">
        <v>166</v>
      </c>
      <c r="D8" s="14" t="s">
        <v>146</v>
      </c>
      <c r="E8" s="14" t="s">
        <v>167</v>
      </c>
      <c r="F8" s="14" t="s">
        <v>148</v>
      </c>
      <c r="G8" s="13" t="s">
        <v>168</v>
      </c>
      <c r="H8" s="12" t="s">
        <v>150</v>
      </c>
      <c r="I8" s="1" t="s">
        <v>151</v>
      </c>
    </row>
    <row r="9" customFormat="false" ht="15" hidden="false" customHeight="true" outlineLevel="0" collapsed="false">
      <c r="A9" s="12" t="n">
        <v>1202</v>
      </c>
      <c r="B9" s="13" t="s">
        <v>169</v>
      </c>
      <c r="C9" s="13" t="s">
        <v>169</v>
      </c>
      <c r="D9" s="14" t="s">
        <v>146</v>
      </c>
      <c r="E9" s="14" t="s">
        <v>167</v>
      </c>
      <c r="F9" s="14" t="s">
        <v>148</v>
      </c>
      <c r="G9" s="13" t="s">
        <v>170</v>
      </c>
      <c r="H9" s="12" t="s">
        <v>150</v>
      </c>
      <c r="I9" s="1" t="s">
        <v>151</v>
      </c>
    </row>
    <row r="10" customFormat="false" ht="15" hidden="false" customHeight="true" outlineLevel="0" collapsed="false">
      <c r="A10" s="12" t="n">
        <v>1203</v>
      </c>
      <c r="B10" s="13" t="s">
        <v>171</v>
      </c>
      <c r="C10" s="13" t="s">
        <v>171</v>
      </c>
      <c r="D10" s="14" t="s">
        <v>146</v>
      </c>
      <c r="E10" s="14" t="s">
        <v>167</v>
      </c>
      <c r="F10" s="14" t="s">
        <v>148</v>
      </c>
      <c r="G10" s="13" t="s">
        <v>172</v>
      </c>
      <c r="H10" s="12" t="s">
        <v>150</v>
      </c>
      <c r="I10" s="1" t="s">
        <v>151</v>
      </c>
    </row>
    <row r="11" customFormat="false" ht="15" hidden="false" customHeight="true" outlineLevel="0" collapsed="false">
      <c r="A11" s="12" t="n">
        <v>1204</v>
      </c>
      <c r="B11" s="13" t="s">
        <v>173</v>
      </c>
      <c r="C11" s="13" t="s">
        <v>173</v>
      </c>
      <c r="D11" s="14" t="s">
        <v>146</v>
      </c>
      <c r="E11" s="14" t="s">
        <v>167</v>
      </c>
      <c r="F11" s="14" t="s">
        <v>148</v>
      </c>
      <c r="G11" s="13" t="s">
        <v>174</v>
      </c>
      <c r="H11" s="12" t="s">
        <v>150</v>
      </c>
      <c r="I11" s="1" t="s">
        <v>151</v>
      </c>
    </row>
    <row r="12" customFormat="false" ht="15" hidden="false" customHeight="true" outlineLevel="0" collapsed="false">
      <c r="A12" s="12" t="n">
        <v>1205</v>
      </c>
      <c r="B12" s="13" t="s">
        <v>175</v>
      </c>
      <c r="C12" s="13" t="s">
        <v>175</v>
      </c>
      <c r="D12" s="14" t="s">
        <v>146</v>
      </c>
      <c r="E12" s="14" t="s">
        <v>167</v>
      </c>
      <c r="F12" s="14" t="s">
        <v>176</v>
      </c>
      <c r="G12" s="13" t="s">
        <v>177</v>
      </c>
      <c r="H12" s="12" t="s">
        <v>150</v>
      </c>
      <c r="I12" s="1" t="s">
        <v>151</v>
      </c>
    </row>
    <row r="13" customFormat="false" ht="15" hidden="false" customHeight="true" outlineLevel="0" collapsed="false">
      <c r="A13" s="12" t="n">
        <v>2101</v>
      </c>
      <c r="B13" s="13" t="s">
        <v>178</v>
      </c>
      <c r="C13" s="13" t="s">
        <v>178</v>
      </c>
      <c r="D13" s="14" t="s">
        <v>179</v>
      </c>
      <c r="E13" s="14" t="s">
        <v>180</v>
      </c>
      <c r="F13" s="14" t="s">
        <v>176</v>
      </c>
      <c r="G13" s="13" t="s">
        <v>181</v>
      </c>
      <c r="H13" s="12" t="s">
        <v>150</v>
      </c>
      <c r="I13" s="1" t="s">
        <v>151</v>
      </c>
    </row>
    <row r="14" customFormat="false" ht="15" hidden="false" customHeight="true" outlineLevel="0" collapsed="false">
      <c r="A14" s="12" t="n">
        <v>2102</v>
      </c>
      <c r="B14" s="13" t="s">
        <v>182</v>
      </c>
      <c r="C14" s="13" t="s">
        <v>182</v>
      </c>
      <c r="D14" s="14" t="s">
        <v>179</v>
      </c>
      <c r="E14" s="14" t="s">
        <v>180</v>
      </c>
      <c r="F14" s="14" t="s">
        <v>176</v>
      </c>
      <c r="G14" s="13" t="s">
        <v>183</v>
      </c>
      <c r="H14" s="12" t="s">
        <v>150</v>
      </c>
      <c r="I14" s="1" t="s">
        <v>151</v>
      </c>
    </row>
    <row r="15" customFormat="false" ht="15" hidden="false" customHeight="true" outlineLevel="0" collapsed="false">
      <c r="A15" s="12" t="n">
        <v>2103</v>
      </c>
      <c r="B15" s="13" t="s">
        <v>184</v>
      </c>
      <c r="C15" s="13" t="s">
        <v>184</v>
      </c>
      <c r="D15" s="14" t="s">
        <v>179</v>
      </c>
      <c r="E15" s="14" t="s">
        <v>180</v>
      </c>
      <c r="F15" s="14" t="s">
        <v>176</v>
      </c>
      <c r="G15" s="13" t="s">
        <v>185</v>
      </c>
      <c r="H15" s="12" t="s">
        <v>150</v>
      </c>
      <c r="I15" s="1" t="s">
        <v>151</v>
      </c>
    </row>
    <row r="16" customFormat="false" ht="15" hidden="false" customHeight="true" outlineLevel="0" collapsed="false">
      <c r="A16" s="12" t="n">
        <v>2104</v>
      </c>
      <c r="B16" s="13" t="s">
        <v>186</v>
      </c>
      <c r="C16" s="13" t="s">
        <v>187</v>
      </c>
      <c r="D16" s="14" t="s">
        <v>179</v>
      </c>
      <c r="E16" s="14" t="s">
        <v>180</v>
      </c>
      <c r="F16" s="14" t="s">
        <v>176</v>
      </c>
      <c r="G16" s="13" t="s">
        <v>188</v>
      </c>
      <c r="H16" s="12" t="s">
        <v>150</v>
      </c>
      <c r="I16" s="1" t="s">
        <v>151</v>
      </c>
    </row>
    <row r="17" customFormat="false" ht="15" hidden="false" customHeight="true" outlineLevel="0" collapsed="false">
      <c r="A17" s="12" t="n">
        <v>2201</v>
      </c>
      <c r="B17" s="13" t="s">
        <v>189</v>
      </c>
      <c r="C17" s="13" t="s">
        <v>189</v>
      </c>
      <c r="D17" s="14" t="s">
        <v>179</v>
      </c>
      <c r="E17" s="14" t="s">
        <v>190</v>
      </c>
      <c r="F17" s="14" t="s">
        <v>176</v>
      </c>
      <c r="G17" s="13" t="s">
        <v>191</v>
      </c>
      <c r="H17" s="12" t="s">
        <v>150</v>
      </c>
      <c r="I17" s="1" t="s">
        <v>151</v>
      </c>
    </row>
    <row r="18" customFormat="false" ht="15" hidden="false" customHeight="true" outlineLevel="0" collapsed="false">
      <c r="A18" s="12" t="n">
        <v>2202</v>
      </c>
      <c r="B18" s="13" t="s">
        <v>192</v>
      </c>
      <c r="C18" s="13" t="s">
        <v>192</v>
      </c>
      <c r="D18" s="14" t="s">
        <v>179</v>
      </c>
      <c r="E18" s="14" t="s">
        <v>190</v>
      </c>
      <c r="F18" s="14" t="s">
        <v>176</v>
      </c>
      <c r="G18" s="13" t="s">
        <v>193</v>
      </c>
      <c r="H18" s="12" t="s">
        <v>150</v>
      </c>
      <c r="I18" s="1" t="s">
        <v>151</v>
      </c>
    </row>
    <row r="19" customFormat="false" ht="15" hidden="false" customHeight="true" outlineLevel="0" collapsed="false">
      <c r="A19" s="12" t="n">
        <v>3101</v>
      </c>
      <c r="B19" s="13" t="s">
        <v>194</v>
      </c>
      <c r="C19" s="13" t="s">
        <v>195</v>
      </c>
      <c r="D19" s="14" t="s">
        <v>196</v>
      </c>
      <c r="E19" s="14"/>
      <c r="F19" s="14" t="s">
        <v>176</v>
      </c>
      <c r="G19" s="13" t="s">
        <v>197</v>
      </c>
      <c r="H19" s="12" t="s">
        <v>150</v>
      </c>
      <c r="I19" s="1" t="s">
        <v>151</v>
      </c>
    </row>
    <row r="20" customFormat="false" ht="15" hidden="false" customHeight="true" outlineLevel="0" collapsed="false">
      <c r="A20" s="12" t="n">
        <v>3102</v>
      </c>
      <c r="B20" s="13" t="s">
        <v>198</v>
      </c>
      <c r="C20" s="13" t="s">
        <v>199</v>
      </c>
      <c r="D20" s="14" t="s">
        <v>196</v>
      </c>
      <c r="E20" s="14"/>
      <c r="F20" s="14" t="s">
        <v>176</v>
      </c>
      <c r="G20" s="13" t="s">
        <v>200</v>
      </c>
      <c r="H20" s="12" t="s">
        <v>150</v>
      </c>
      <c r="I20" s="1" t="s">
        <v>151</v>
      </c>
    </row>
    <row r="21" customFormat="false" ht="15" hidden="false" customHeight="true" outlineLevel="0" collapsed="false">
      <c r="A21" s="12" t="n">
        <v>3103</v>
      </c>
      <c r="B21" s="13" t="s">
        <v>201</v>
      </c>
      <c r="C21" s="13" t="s">
        <v>202</v>
      </c>
      <c r="D21" s="14" t="s">
        <v>196</v>
      </c>
      <c r="E21" s="14"/>
      <c r="F21" s="14" t="s">
        <v>176</v>
      </c>
      <c r="G21" s="13" t="s">
        <v>203</v>
      </c>
      <c r="H21" s="12" t="s">
        <v>150</v>
      </c>
      <c r="I21" s="1" t="s">
        <v>151</v>
      </c>
    </row>
    <row r="22" customFormat="false" ht="15" hidden="false" customHeight="true" outlineLevel="0" collapsed="false">
      <c r="A22" s="12" t="n">
        <v>3104</v>
      </c>
      <c r="B22" s="13" t="s">
        <v>204</v>
      </c>
      <c r="C22" s="13" t="s">
        <v>205</v>
      </c>
      <c r="D22" s="14" t="s">
        <v>196</v>
      </c>
      <c r="E22" s="14"/>
      <c r="F22" s="14" t="s">
        <v>176</v>
      </c>
      <c r="G22" s="13" t="s">
        <v>206</v>
      </c>
      <c r="H22" s="12" t="s">
        <v>150</v>
      </c>
      <c r="I22" s="1" t="s">
        <v>151</v>
      </c>
    </row>
    <row r="23" customFormat="false" ht="15" hidden="false" customHeight="true" outlineLevel="0" collapsed="false">
      <c r="A23" s="12" t="n">
        <v>4101</v>
      </c>
      <c r="B23" s="13" t="s">
        <v>207</v>
      </c>
      <c r="C23" s="13" t="s">
        <v>208</v>
      </c>
      <c r="D23" s="14" t="s">
        <v>65</v>
      </c>
      <c r="E23" s="14" t="s">
        <v>209</v>
      </c>
      <c r="F23" s="14" t="s">
        <v>176</v>
      </c>
      <c r="G23" s="13" t="s">
        <v>210</v>
      </c>
      <c r="H23" s="12" t="s">
        <v>211</v>
      </c>
      <c r="I23" s="1" t="s">
        <v>212</v>
      </c>
    </row>
    <row r="24" customFormat="false" ht="15" hidden="false" customHeight="true" outlineLevel="0" collapsed="false">
      <c r="A24" s="12" t="n">
        <v>4102</v>
      </c>
      <c r="B24" s="13" t="s">
        <v>213</v>
      </c>
      <c r="C24" s="13" t="s">
        <v>214</v>
      </c>
      <c r="D24" s="14" t="s">
        <v>65</v>
      </c>
      <c r="E24" s="14" t="s">
        <v>209</v>
      </c>
      <c r="F24" s="14" t="s">
        <v>176</v>
      </c>
      <c r="G24" s="13" t="s">
        <v>215</v>
      </c>
      <c r="H24" s="12" t="s">
        <v>211</v>
      </c>
      <c r="I24" s="1" t="s">
        <v>212</v>
      </c>
    </row>
    <row r="25" customFormat="false" ht="15" hidden="false" customHeight="true" outlineLevel="0" collapsed="false">
      <c r="A25" s="12" t="n">
        <v>4103</v>
      </c>
      <c r="B25" s="13" t="s">
        <v>216</v>
      </c>
      <c r="C25" s="13" t="s">
        <v>217</v>
      </c>
      <c r="D25" s="14" t="s">
        <v>65</v>
      </c>
      <c r="E25" s="14" t="s">
        <v>209</v>
      </c>
      <c r="F25" s="14" t="s">
        <v>176</v>
      </c>
      <c r="G25" s="13" t="s">
        <v>218</v>
      </c>
      <c r="H25" s="12" t="s">
        <v>211</v>
      </c>
      <c r="I25" s="1" t="s">
        <v>212</v>
      </c>
    </row>
    <row r="26" customFormat="false" ht="15" hidden="false" customHeight="true" outlineLevel="0" collapsed="false">
      <c r="A26" s="12" t="n">
        <v>4104</v>
      </c>
      <c r="B26" s="13" t="s">
        <v>219</v>
      </c>
      <c r="C26" s="13" t="s">
        <v>220</v>
      </c>
      <c r="D26" s="14" t="s">
        <v>65</v>
      </c>
      <c r="E26" s="14" t="s">
        <v>209</v>
      </c>
      <c r="F26" s="14" t="s">
        <v>176</v>
      </c>
      <c r="G26" s="13" t="s">
        <v>221</v>
      </c>
      <c r="H26" s="12" t="s">
        <v>211</v>
      </c>
      <c r="I26" s="1" t="s">
        <v>212</v>
      </c>
    </row>
    <row r="27" customFormat="false" ht="15" hidden="false" customHeight="true" outlineLevel="0" collapsed="false">
      <c r="A27" s="12" t="n">
        <v>4201</v>
      </c>
      <c r="B27" s="13" t="s">
        <v>222</v>
      </c>
      <c r="C27" s="13" t="s">
        <v>129</v>
      </c>
      <c r="D27" s="14" t="s">
        <v>65</v>
      </c>
      <c r="E27" s="14" t="s">
        <v>223</v>
      </c>
      <c r="F27" s="14" t="s">
        <v>176</v>
      </c>
      <c r="G27" s="13" t="s">
        <v>224</v>
      </c>
      <c r="H27" s="12" t="s">
        <v>211</v>
      </c>
      <c r="I27" s="1" t="s">
        <v>212</v>
      </c>
    </row>
    <row r="28" customFormat="false" ht="15" hidden="false" customHeight="true" outlineLevel="0" collapsed="false">
      <c r="A28" s="12" t="n">
        <v>4202</v>
      </c>
      <c r="B28" s="13" t="s">
        <v>102</v>
      </c>
      <c r="C28" s="13" t="s">
        <v>225</v>
      </c>
      <c r="D28" s="14" t="s">
        <v>65</v>
      </c>
      <c r="E28" s="14" t="s">
        <v>223</v>
      </c>
      <c r="F28" s="14" t="s">
        <v>176</v>
      </c>
      <c r="G28" s="13" t="s">
        <v>226</v>
      </c>
      <c r="H28" s="12" t="s">
        <v>211</v>
      </c>
      <c r="I28" s="1" t="s">
        <v>212</v>
      </c>
    </row>
    <row r="29" customFormat="false" ht="15" hidden="false" customHeight="true" outlineLevel="0" collapsed="false">
      <c r="A29" s="12" t="n">
        <v>4203</v>
      </c>
      <c r="B29" s="13" t="s">
        <v>227</v>
      </c>
      <c r="C29" s="13" t="s">
        <v>228</v>
      </c>
      <c r="D29" s="14" t="s">
        <v>65</v>
      </c>
      <c r="E29" s="14" t="s">
        <v>223</v>
      </c>
      <c r="F29" s="14" t="s">
        <v>176</v>
      </c>
      <c r="G29" s="13" t="s">
        <v>229</v>
      </c>
      <c r="H29" s="12" t="s">
        <v>211</v>
      </c>
      <c r="I29" s="1" t="s">
        <v>212</v>
      </c>
    </row>
    <row r="30" customFormat="false" ht="15" hidden="false" customHeight="true" outlineLevel="0" collapsed="false">
      <c r="A30" s="12" t="n">
        <v>4301</v>
      </c>
      <c r="B30" s="13" t="s">
        <v>127</v>
      </c>
      <c r="C30" s="13" t="s">
        <v>131</v>
      </c>
      <c r="D30" s="14" t="s">
        <v>65</v>
      </c>
      <c r="E30" s="14" t="s">
        <v>230</v>
      </c>
      <c r="F30" s="14" t="s">
        <v>176</v>
      </c>
      <c r="G30" s="13" t="s">
        <v>231</v>
      </c>
      <c r="H30" s="12" t="s">
        <v>211</v>
      </c>
      <c r="I30" s="1" t="s">
        <v>212</v>
      </c>
    </row>
    <row r="31" customFormat="false" ht="15" hidden="false" customHeight="true" outlineLevel="0" collapsed="false">
      <c r="A31" s="12" t="n">
        <v>4302</v>
      </c>
      <c r="B31" s="13" t="s">
        <v>96</v>
      </c>
      <c r="C31" s="13" t="s">
        <v>232</v>
      </c>
      <c r="D31" s="14" t="s">
        <v>65</v>
      </c>
      <c r="E31" s="14" t="s">
        <v>230</v>
      </c>
      <c r="F31" s="14" t="s">
        <v>176</v>
      </c>
      <c r="G31" s="13" t="s">
        <v>233</v>
      </c>
      <c r="H31" s="12" t="s">
        <v>211</v>
      </c>
      <c r="I31" s="1" t="s">
        <v>212</v>
      </c>
    </row>
    <row r="32" customFormat="false" ht="15" hidden="false" customHeight="true" outlineLevel="0" collapsed="false">
      <c r="A32" s="12" t="n">
        <v>5101</v>
      </c>
      <c r="B32" s="13" t="s">
        <v>234</v>
      </c>
      <c r="C32" s="13" t="s">
        <v>234</v>
      </c>
      <c r="D32" s="14" t="s">
        <v>235</v>
      </c>
      <c r="E32" s="14" t="s">
        <v>236</v>
      </c>
      <c r="F32" s="14" t="s">
        <v>148</v>
      </c>
      <c r="G32" s="13" t="s">
        <v>237</v>
      </c>
      <c r="H32" s="12" t="s">
        <v>211</v>
      </c>
      <c r="I32" s="1" t="s">
        <v>212</v>
      </c>
    </row>
    <row r="33" customFormat="false" ht="15" hidden="false" customHeight="true" outlineLevel="0" collapsed="false">
      <c r="A33" s="12" t="n">
        <v>5102</v>
      </c>
      <c r="B33" s="13" t="s">
        <v>106</v>
      </c>
      <c r="C33" s="13" t="s">
        <v>106</v>
      </c>
      <c r="D33" s="14" t="s">
        <v>235</v>
      </c>
      <c r="E33" s="14" t="s">
        <v>236</v>
      </c>
      <c r="F33" s="14" t="s">
        <v>148</v>
      </c>
      <c r="G33" s="13" t="s">
        <v>238</v>
      </c>
      <c r="H33" s="12" t="s">
        <v>211</v>
      </c>
      <c r="I33" s="1" t="s">
        <v>212</v>
      </c>
    </row>
    <row r="34" customFormat="false" ht="15" hidden="false" customHeight="true" outlineLevel="0" collapsed="false">
      <c r="A34" s="12" t="n">
        <v>5103</v>
      </c>
      <c r="B34" s="13" t="s">
        <v>108</v>
      </c>
      <c r="C34" s="13" t="s">
        <v>108</v>
      </c>
      <c r="D34" s="14" t="s">
        <v>235</v>
      </c>
      <c r="E34" s="14" t="s">
        <v>236</v>
      </c>
      <c r="F34" s="14" t="s">
        <v>148</v>
      </c>
      <c r="G34" s="13" t="s">
        <v>239</v>
      </c>
      <c r="H34" s="12" t="s">
        <v>211</v>
      </c>
      <c r="I34" s="1" t="s">
        <v>212</v>
      </c>
    </row>
    <row r="35" customFormat="false" ht="15" hidden="false" customHeight="true" outlineLevel="0" collapsed="false">
      <c r="A35" s="12" t="n">
        <v>5104</v>
      </c>
      <c r="B35" s="13" t="s">
        <v>110</v>
      </c>
      <c r="C35" s="13" t="s">
        <v>110</v>
      </c>
      <c r="D35" s="14" t="s">
        <v>235</v>
      </c>
      <c r="E35" s="14" t="s">
        <v>236</v>
      </c>
      <c r="F35" s="14" t="s">
        <v>148</v>
      </c>
      <c r="G35" s="13" t="s">
        <v>240</v>
      </c>
      <c r="H35" s="12" t="s">
        <v>211</v>
      </c>
      <c r="I35" s="1" t="s">
        <v>212</v>
      </c>
    </row>
    <row r="36" customFormat="false" ht="15" hidden="false" customHeight="true" outlineLevel="0" collapsed="false">
      <c r="A36" s="12" t="n">
        <v>5105</v>
      </c>
      <c r="B36" s="13" t="s">
        <v>112</v>
      </c>
      <c r="C36" s="13" t="s">
        <v>241</v>
      </c>
      <c r="D36" s="14" t="s">
        <v>235</v>
      </c>
      <c r="E36" s="14" t="s">
        <v>236</v>
      </c>
      <c r="F36" s="14" t="s">
        <v>148</v>
      </c>
      <c r="G36" s="13" t="s">
        <v>242</v>
      </c>
      <c r="H36" s="12" t="s">
        <v>211</v>
      </c>
      <c r="I36" s="1" t="s">
        <v>212</v>
      </c>
    </row>
    <row r="37" customFormat="false" ht="15" hidden="false" customHeight="true" outlineLevel="0" collapsed="false">
      <c r="A37" s="12" t="n">
        <v>5201</v>
      </c>
      <c r="B37" s="13" t="s">
        <v>114</v>
      </c>
      <c r="C37" s="13" t="s">
        <v>114</v>
      </c>
      <c r="D37" s="14" t="s">
        <v>235</v>
      </c>
      <c r="E37" s="14" t="s">
        <v>243</v>
      </c>
      <c r="F37" s="14" t="s">
        <v>148</v>
      </c>
      <c r="G37" s="13" t="s">
        <v>244</v>
      </c>
      <c r="H37" s="12" t="s">
        <v>211</v>
      </c>
      <c r="I37" s="1" t="s">
        <v>212</v>
      </c>
    </row>
    <row r="38" customFormat="false" ht="15" hidden="false" customHeight="true" outlineLevel="0" collapsed="false">
      <c r="A38" s="12" t="n">
        <v>5202</v>
      </c>
      <c r="B38" s="13" t="s">
        <v>85</v>
      </c>
      <c r="C38" s="13" t="s">
        <v>245</v>
      </c>
      <c r="D38" s="14" t="s">
        <v>235</v>
      </c>
      <c r="E38" s="14" t="s">
        <v>243</v>
      </c>
      <c r="F38" s="14" t="s">
        <v>148</v>
      </c>
      <c r="G38" s="13" t="s">
        <v>246</v>
      </c>
      <c r="H38" s="12" t="s">
        <v>211</v>
      </c>
      <c r="I38" s="1" t="s">
        <v>212</v>
      </c>
    </row>
    <row r="39" customFormat="false" ht="15" hidden="false" customHeight="true" outlineLevel="0" collapsed="false">
      <c r="A39" s="12" t="n">
        <v>5203</v>
      </c>
      <c r="B39" s="13" t="s">
        <v>247</v>
      </c>
      <c r="C39" s="13" t="s">
        <v>247</v>
      </c>
      <c r="D39" s="14" t="s">
        <v>235</v>
      </c>
      <c r="E39" s="14" t="s">
        <v>243</v>
      </c>
      <c r="F39" s="14" t="s">
        <v>148</v>
      </c>
      <c r="G39" s="13" t="s">
        <v>248</v>
      </c>
      <c r="H39" s="12" t="s">
        <v>211</v>
      </c>
      <c r="I39" s="1" t="s">
        <v>212</v>
      </c>
    </row>
    <row r="40" customFormat="false" ht="15" hidden="false" customHeight="true" outlineLevel="0" collapsed="false">
      <c r="A40" s="12" t="n">
        <v>5301</v>
      </c>
      <c r="B40" s="13" t="s">
        <v>249</v>
      </c>
      <c r="C40" s="13" t="s">
        <v>249</v>
      </c>
      <c r="D40" s="14" t="s">
        <v>235</v>
      </c>
      <c r="E40" s="14" t="s">
        <v>250</v>
      </c>
      <c r="F40" s="14" t="s">
        <v>148</v>
      </c>
      <c r="G40" s="13" t="s">
        <v>251</v>
      </c>
      <c r="H40" s="12" t="s">
        <v>211</v>
      </c>
      <c r="I40" s="1" t="s">
        <v>212</v>
      </c>
    </row>
    <row r="41" customFormat="false" ht="15" hidden="false" customHeight="true" outlineLevel="0" collapsed="false">
      <c r="A41" s="12" t="n">
        <v>5302</v>
      </c>
      <c r="B41" s="13" t="s">
        <v>252</v>
      </c>
      <c r="C41" s="13" t="s">
        <v>252</v>
      </c>
      <c r="D41" s="14" t="s">
        <v>235</v>
      </c>
      <c r="E41" s="14" t="s">
        <v>250</v>
      </c>
      <c r="F41" s="14" t="s">
        <v>148</v>
      </c>
      <c r="G41" s="13" t="s">
        <v>253</v>
      </c>
      <c r="H41" s="12" t="s">
        <v>211</v>
      </c>
      <c r="I41" s="1" t="s">
        <v>212</v>
      </c>
    </row>
    <row r="42" customFormat="false" ht="15" hidden="false" customHeight="true" outlineLevel="0" collapsed="false">
      <c r="A42" s="12" t="n">
        <v>5303</v>
      </c>
      <c r="B42" s="13" t="s">
        <v>254</v>
      </c>
      <c r="C42" s="13" t="s">
        <v>254</v>
      </c>
      <c r="D42" s="14" t="s">
        <v>235</v>
      </c>
      <c r="E42" s="14" t="s">
        <v>250</v>
      </c>
      <c r="F42" s="14" t="s">
        <v>148</v>
      </c>
      <c r="G42" s="13" t="s">
        <v>255</v>
      </c>
      <c r="H42" s="12" t="s">
        <v>211</v>
      </c>
      <c r="I42" s="1" t="s">
        <v>212</v>
      </c>
    </row>
    <row r="43" customFormat="false" ht="15" hidden="false" customHeight="true" outlineLevel="0" collapsed="false">
      <c r="A43" s="12" t="n">
        <v>5401</v>
      </c>
      <c r="B43" s="13" t="s">
        <v>256</v>
      </c>
      <c r="C43" s="13" t="s">
        <v>257</v>
      </c>
      <c r="D43" s="14" t="s">
        <v>235</v>
      </c>
      <c r="E43" s="14" t="s">
        <v>258</v>
      </c>
      <c r="F43" s="14" t="s">
        <v>148</v>
      </c>
      <c r="G43" s="13" t="s">
        <v>118</v>
      </c>
      <c r="H43" s="12" t="s">
        <v>211</v>
      </c>
      <c r="I43" s="1" t="s">
        <v>212</v>
      </c>
    </row>
    <row r="44" customFormat="false" ht="15" hidden="false" customHeight="true" outlineLevel="0" collapsed="false">
      <c r="A44" s="12" t="n">
        <v>5402</v>
      </c>
      <c r="B44" s="13" t="s">
        <v>119</v>
      </c>
      <c r="C44" s="13" t="s">
        <v>259</v>
      </c>
      <c r="D44" s="14" t="s">
        <v>235</v>
      </c>
      <c r="E44" s="14" t="s">
        <v>258</v>
      </c>
      <c r="F44" s="14" t="s">
        <v>148</v>
      </c>
      <c r="G44" s="13" t="s">
        <v>260</v>
      </c>
      <c r="H44" s="12" t="s">
        <v>211</v>
      </c>
      <c r="I44" s="1" t="s">
        <v>212</v>
      </c>
    </row>
    <row r="45" customFormat="false" ht="15" hidden="false" customHeight="true" outlineLevel="0" collapsed="false">
      <c r="A45" s="12" t="n">
        <v>5403</v>
      </c>
      <c r="B45" s="13" t="s">
        <v>121</v>
      </c>
      <c r="C45" s="13" t="s">
        <v>261</v>
      </c>
      <c r="D45" s="14" t="s">
        <v>235</v>
      </c>
      <c r="E45" s="14" t="s">
        <v>258</v>
      </c>
      <c r="F45" s="14" t="s">
        <v>148</v>
      </c>
      <c r="G45" s="13" t="s">
        <v>262</v>
      </c>
      <c r="H45" s="12" t="s">
        <v>211</v>
      </c>
      <c r="I45" s="1" t="s">
        <v>212</v>
      </c>
    </row>
    <row r="46" customFormat="false" ht="15" hidden="false" customHeight="true" outlineLevel="0" collapsed="false">
      <c r="A46" s="12" t="n">
        <v>5404</v>
      </c>
      <c r="B46" s="13" t="s">
        <v>263</v>
      </c>
      <c r="C46" s="13" t="s">
        <v>264</v>
      </c>
      <c r="D46" s="14" t="s">
        <v>235</v>
      </c>
      <c r="E46" s="14" t="s">
        <v>258</v>
      </c>
      <c r="F46" s="14" t="s">
        <v>148</v>
      </c>
      <c r="G46" s="13" t="s">
        <v>124</v>
      </c>
      <c r="H46" s="12" t="s">
        <v>211</v>
      </c>
      <c r="I46" s="1" t="s">
        <v>212</v>
      </c>
    </row>
    <row r="47" customFormat="false" ht="15" hidden="false" customHeight="true" outlineLevel="0" collapsed="false">
      <c r="A47" s="12" t="n">
        <v>5405</v>
      </c>
      <c r="B47" s="13" t="s">
        <v>265</v>
      </c>
      <c r="C47" s="13" t="s">
        <v>135</v>
      </c>
      <c r="D47" s="14" t="s">
        <v>235</v>
      </c>
      <c r="E47" s="14" t="s">
        <v>258</v>
      </c>
      <c r="F47" s="14" t="s">
        <v>148</v>
      </c>
      <c r="G47" s="13" t="s">
        <v>266</v>
      </c>
      <c r="H47" s="12" t="s">
        <v>211</v>
      </c>
      <c r="I47" s="1" t="s">
        <v>212</v>
      </c>
    </row>
    <row r="48" customFormat="false" ht="15" hidden="false" customHeight="true" outlineLevel="0" collapsed="false">
      <c r="A48" s="12" t="n">
        <v>1180</v>
      </c>
      <c r="B48" s="13" t="s">
        <v>267</v>
      </c>
      <c r="C48" s="13" t="s">
        <v>267</v>
      </c>
      <c r="D48" s="14" t="s">
        <v>146</v>
      </c>
      <c r="E48" s="14" t="s">
        <v>147</v>
      </c>
      <c r="F48" s="14" t="s">
        <v>148</v>
      </c>
      <c r="G48" s="13" t="s">
        <v>268</v>
      </c>
      <c r="H48" s="12" t="s">
        <v>150</v>
      </c>
      <c r="I48" s="1" t="s">
        <v>151</v>
      </c>
    </row>
    <row r="49" customFormat="false" ht="15" hidden="false" customHeight="true" outlineLevel="0" collapsed="false">
      <c r="A49" s="12" t="n">
        <v>1181</v>
      </c>
      <c r="B49" s="13" t="s">
        <v>269</v>
      </c>
      <c r="C49" s="13" t="s">
        <v>270</v>
      </c>
      <c r="D49" s="14" t="s">
        <v>146</v>
      </c>
      <c r="E49" s="14" t="s">
        <v>147</v>
      </c>
      <c r="F49" s="14" t="s">
        <v>148</v>
      </c>
      <c r="G49" s="13" t="s">
        <v>271</v>
      </c>
      <c r="H49" s="12" t="s">
        <v>150</v>
      </c>
      <c r="I49" s="1" t="s">
        <v>151</v>
      </c>
    </row>
    <row r="50" customFormat="false" ht="15" hidden="false" customHeight="true" outlineLevel="0" collapsed="false">
      <c r="A50" s="12" t="n">
        <v>1182</v>
      </c>
      <c r="B50" s="13" t="s">
        <v>272</v>
      </c>
      <c r="C50" s="13" t="s">
        <v>272</v>
      </c>
      <c r="D50" s="14" t="s">
        <v>146</v>
      </c>
      <c r="E50" s="14" t="s">
        <v>147</v>
      </c>
      <c r="F50" s="14" t="s">
        <v>148</v>
      </c>
      <c r="G50" s="13" t="s">
        <v>273</v>
      </c>
      <c r="H50" s="12" t="s">
        <v>150</v>
      </c>
      <c r="I50" s="1" t="s">
        <v>151</v>
      </c>
    </row>
    <row r="51" customFormat="false" ht="15" hidden="false" customHeight="true" outlineLevel="0" collapsed="false">
      <c r="A51" s="12" t="n">
        <v>2080</v>
      </c>
      <c r="B51" s="13" t="s">
        <v>274</v>
      </c>
      <c r="C51" s="13" t="s">
        <v>274</v>
      </c>
      <c r="D51" s="14" t="s">
        <v>179</v>
      </c>
      <c r="E51" s="14" t="s">
        <v>180</v>
      </c>
      <c r="F51" s="14" t="s">
        <v>176</v>
      </c>
      <c r="G51" s="13" t="s">
        <v>275</v>
      </c>
      <c r="H51" s="12" t="s">
        <v>150</v>
      </c>
      <c r="I51" s="1" t="s">
        <v>151</v>
      </c>
    </row>
    <row r="52" customFormat="false" ht="15" hidden="false" customHeight="true" outlineLevel="0" collapsed="false">
      <c r="A52" s="12" t="n">
        <v>2081</v>
      </c>
      <c r="B52" s="13" t="s">
        <v>276</v>
      </c>
      <c r="C52" s="13" t="s">
        <v>277</v>
      </c>
      <c r="D52" s="14" t="s">
        <v>179</v>
      </c>
      <c r="E52" s="14" t="s">
        <v>180</v>
      </c>
      <c r="F52" s="14" t="s">
        <v>176</v>
      </c>
      <c r="G52" s="13" t="s">
        <v>278</v>
      </c>
      <c r="H52" s="12" t="s">
        <v>150</v>
      </c>
      <c r="I52" s="1" t="s">
        <v>151</v>
      </c>
    </row>
    <row r="53" customFormat="false" ht="15" hidden="false" customHeight="true" outlineLevel="0" collapsed="false">
      <c r="A53" s="12" t="n">
        <v>2160</v>
      </c>
      <c r="B53" s="13" t="s">
        <v>279</v>
      </c>
      <c r="C53" s="13" t="s">
        <v>280</v>
      </c>
      <c r="D53" s="14" t="s">
        <v>179</v>
      </c>
      <c r="E53" s="14" t="s">
        <v>180</v>
      </c>
      <c r="F53" s="14" t="s">
        <v>176</v>
      </c>
      <c r="G53" s="13" t="s">
        <v>281</v>
      </c>
      <c r="H53" s="12" t="s">
        <v>150</v>
      </c>
      <c r="I53" s="1" t="s">
        <v>151</v>
      </c>
    </row>
    <row r="54" customFormat="false" ht="15" hidden="false" customHeight="true" outlineLevel="0" collapsed="false">
      <c r="A54" s="12" t="n">
        <v>2170</v>
      </c>
      <c r="B54" s="13" t="s">
        <v>282</v>
      </c>
      <c r="C54" s="13" t="s">
        <v>283</v>
      </c>
      <c r="D54" s="14" t="s">
        <v>179</v>
      </c>
      <c r="E54" s="14" t="s">
        <v>180</v>
      </c>
      <c r="F54" s="14" t="s">
        <v>176</v>
      </c>
      <c r="G54" s="13" t="s">
        <v>284</v>
      </c>
      <c r="H54" s="12" t="s">
        <v>150</v>
      </c>
      <c r="I54" s="1" t="s">
        <v>151</v>
      </c>
    </row>
    <row r="55" customFormat="false" ht="15" hidden="false" customHeight="true" outlineLevel="0" collapsed="false">
      <c r="A55" s="12" t="n">
        <v>2180</v>
      </c>
      <c r="B55" s="13" t="s">
        <v>285</v>
      </c>
      <c r="C55" s="13" t="s">
        <v>286</v>
      </c>
      <c r="D55" s="14" t="s">
        <v>146</v>
      </c>
      <c r="E55" s="14" t="s">
        <v>147</v>
      </c>
      <c r="F55" s="14" t="s">
        <v>148</v>
      </c>
      <c r="G55" s="13" t="s">
        <v>287</v>
      </c>
      <c r="H55" s="12" t="s">
        <v>150</v>
      </c>
      <c r="I55" s="1" t="s">
        <v>151</v>
      </c>
    </row>
    <row r="56" customFormat="false" ht="15" hidden="false" customHeight="true" outlineLevel="0" collapsed="false">
      <c r="A56" s="12" t="n">
        <v>2181</v>
      </c>
      <c r="B56" s="13" t="s">
        <v>288</v>
      </c>
      <c r="C56" s="13" t="s">
        <v>289</v>
      </c>
      <c r="D56" s="14" t="s">
        <v>146</v>
      </c>
      <c r="E56" s="14" t="s">
        <v>147</v>
      </c>
      <c r="F56" s="14" t="s">
        <v>148</v>
      </c>
      <c r="G56" s="13" t="s">
        <v>290</v>
      </c>
      <c r="H56" s="12" t="s">
        <v>150</v>
      </c>
      <c r="I56" s="1" t="s">
        <v>151</v>
      </c>
    </row>
    <row r="57" customFormat="false" ht="15" hidden="false" customHeight="true" outlineLevel="0" collapsed="false">
      <c r="A57" s="12" t="n">
        <v>5204</v>
      </c>
      <c r="B57" s="13" t="s">
        <v>291</v>
      </c>
      <c r="C57" s="13" t="s">
        <v>292</v>
      </c>
      <c r="D57" s="14" t="s">
        <v>235</v>
      </c>
      <c r="E57" s="14" t="s">
        <v>293</v>
      </c>
      <c r="F57" s="14" t="s">
        <v>148</v>
      </c>
      <c r="G57" s="13" t="s">
        <v>294</v>
      </c>
      <c r="H57" s="12" t="s">
        <v>211</v>
      </c>
      <c r="I57" s="1" t="s">
        <v>212</v>
      </c>
    </row>
    <row r="58" customFormat="false" ht="15" hidden="false" customHeight="true" outlineLevel="0" collapsed="false">
      <c r="A58" s="12" t="n">
        <v>5205</v>
      </c>
      <c r="B58" s="13" t="s">
        <v>295</v>
      </c>
      <c r="C58" s="13" t="s">
        <v>296</v>
      </c>
      <c r="D58" s="14" t="s">
        <v>235</v>
      </c>
      <c r="E58" s="14" t="s">
        <v>293</v>
      </c>
      <c r="F58" s="14" t="s">
        <v>148</v>
      </c>
      <c r="G58" s="13" t="s">
        <v>297</v>
      </c>
      <c r="H58" s="12" t="s">
        <v>211</v>
      </c>
      <c r="I58" s="1" t="s">
        <v>212</v>
      </c>
    </row>
    <row r="59" customFormat="false" ht="15" hidden="false" customHeight="true" outlineLevel="0" collapsed="false">
      <c r="A59" s="12" t="n">
        <v>5206</v>
      </c>
      <c r="B59" s="13" t="s">
        <v>298</v>
      </c>
      <c r="C59" s="13" t="s">
        <v>298</v>
      </c>
      <c r="D59" s="14" t="s">
        <v>179</v>
      </c>
      <c r="E59" s="14" t="s">
        <v>180</v>
      </c>
      <c r="F59" s="14" t="s">
        <v>176</v>
      </c>
      <c r="G59" s="13" t="s">
        <v>299</v>
      </c>
      <c r="H59" s="12" t="s">
        <v>150</v>
      </c>
      <c r="I59" s="1" t="s">
        <v>151</v>
      </c>
    </row>
    <row r="60" customFormat="false" ht="15" hidden="false" customHeight="true" outlineLevel="0" collapsed="false">
      <c r="A60" s="12" t="n">
        <v>5207</v>
      </c>
      <c r="B60" s="13" t="s">
        <v>300</v>
      </c>
      <c r="C60" s="13" t="s">
        <v>301</v>
      </c>
      <c r="D60" s="14" t="s">
        <v>235</v>
      </c>
      <c r="E60" s="14" t="s">
        <v>293</v>
      </c>
      <c r="F60" s="14" t="s">
        <v>148</v>
      </c>
      <c r="G60" s="13" t="s">
        <v>302</v>
      </c>
      <c r="H60" s="12" t="s">
        <v>211</v>
      </c>
      <c r="I60" s="1" t="s">
        <v>212</v>
      </c>
    </row>
    <row r="61" customFormat="false" ht="15" hidden="false" customHeight="true" outlineLevel="0" collapsed="false">
      <c r="A61" s="12" t="n">
        <v>5208</v>
      </c>
      <c r="B61" s="13" t="s">
        <v>303</v>
      </c>
      <c r="C61" s="13" t="s">
        <v>304</v>
      </c>
      <c r="D61" s="14" t="s">
        <v>235</v>
      </c>
      <c r="E61" s="14" t="s">
        <v>293</v>
      </c>
      <c r="F61" s="14" t="s">
        <v>148</v>
      </c>
      <c r="G61" s="13" t="s">
        <v>305</v>
      </c>
      <c r="H61" s="12" t="s">
        <v>211</v>
      </c>
      <c r="I61" s="1" t="s">
        <v>212</v>
      </c>
    </row>
    <row r="62" customFormat="false" ht="15" hidden="false" customHeight="true" outlineLevel="0" collapsed="false">
      <c r="A62" s="12" t="n">
        <v>5304</v>
      </c>
      <c r="B62" s="13" t="s">
        <v>306</v>
      </c>
      <c r="C62" s="13" t="s">
        <v>100</v>
      </c>
      <c r="D62" s="14" t="s">
        <v>235</v>
      </c>
      <c r="E62" s="14" t="s">
        <v>293</v>
      </c>
      <c r="F62" s="14" t="s">
        <v>148</v>
      </c>
      <c r="G62" s="13" t="s">
        <v>307</v>
      </c>
      <c r="H62" s="12" t="s">
        <v>211</v>
      </c>
      <c r="I62" s="1" t="s">
        <v>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L38" activeCellId="0" sqref="L38"/>
    </sheetView>
  </sheetViews>
  <sheetFormatPr defaultColWidth="10.16015625" defaultRowHeight="12.75" zeroHeight="false" outlineLevelRow="0" outlineLevelCol="0"/>
  <cols>
    <col collapsed="false" customWidth="true" hidden="false" outlineLevel="0" max="1" min="1" style="1" width="19.11"/>
    <col collapsed="false" customWidth="true" hidden="false" outlineLevel="0" max="2" min="2" style="1" width="12.5"/>
    <col collapsed="false" customWidth="true" hidden="false" outlineLevel="0" max="4" min="4" style="1" width="21.93"/>
  </cols>
  <sheetData>
    <row r="1" customFormat="false" ht="30.75" hidden="false" customHeight="true" outlineLevel="0" collapsed="false">
      <c r="A1" s="3" t="s">
        <v>308</v>
      </c>
      <c r="B1" s="3" t="s">
        <v>309</v>
      </c>
      <c r="C1" s="3" t="s">
        <v>310</v>
      </c>
      <c r="D1" s="3" t="s">
        <v>53</v>
      </c>
    </row>
    <row r="2" customFormat="false" ht="105.75" hidden="false" customHeight="true" outlineLevel="0" collapsed="false">
      <c r="A2" s="5" t="s">
        <v>311</v>
      </c>
      <c r="B2" s="5" t="n">
        <v>16</v>
      </c>
      <c r="C2" s="5" t="s">
        <v>312</v>
      </c>
      <c r="D2" s="5" t="s">
        <v>313</v>
      </c>
    </row>
    <row r="3" customFormat="false" ht="45.75" hidden="false" customHeight="true" outlineLevel="0" collapsed="false">
      <c r="A3" s="5" t="s">
        <v>314</v>
      </c>
      <c r="B3" s="5" t="n">
        <v>0</v>
      </c>
      <c r="C3" s="5" t="s">
        <v>312</v>
      </c>
      <c r="D3" s="5" t="s">
        <v>315</v>
      </c>
    </row>
    <row r="4" customFormat="false" ht="75.75" hidden="false" customHeight="true" outlineLevel="0" collapsed="false">
      <c r="A4" s="5" t="s">
        <v>316</v>
      </c>
      <c r="B4" s="5" t="s">
        <v>317</v>
      </c>
      <c r="C4" s="5" t="s">
        <v>67</v>
      </c>
      <c r="D4" s="5" t="s">
        <v>318</v>
      </c>
    </row>
    <row r="5" customFormat="false" ht="90.75" hidden="false" customHeight="true" outlineLevel="0" collapsed="false">
      <c r="A5" s="5" t="s">
        <v>319</v>
      </c>
      <c r="B5" s="5" t="n">
        <v>10</v>
      </c>
      <c r="C5" s="5" t="s">
        <v>312</v>
      </c>
      <c r="D5" s="5" t="s">
        <v>320</v>
      </c>
    </row>
    <row r="6" customFormat="false" ht="60.75" hidden="false" customHeight="true" outlineLevel="0" collapsed="false">
      <c r="A6" s="5" t="s">
        <v>321</v>
      </c>
      <c r="B6" s="5" t="n">
        <v>1.25</v>
      </c>
      <c r="C6" s="5" t="s">
        <v>312</v>
      </c>
      <c r="D6" s="5" t="s">
        <v>322</v>
      </c>
    </row>
    <row r="7" customFormat="false" ht="75.75" hidden="false" customHeight="true" outlineLevel="0" collapsed="false">
      <c r="A7" s="5" t="s">
        <v>323</v>
      </c>
      <c r="B7" s="5" t="n">
        <v>66.6667</v>
      </c>
      <c r="C7" s="5" t="s">
        <v>324</v>
      </c>
      <c r="D7" s="5" t="s">
        <v>325</v>
      </c>
    </row>
    <row r="8" customFormat="false" ht="75.75" hidden="false" customHeight="true" outlineLevel="0" collapsed="false">
      <c r="A8" s="5" t="s">
        <v>326</v>
      </c>
      <c r="B8" s="5" t="s">
        <v>327</v>
      </c>
      <c r="C8" s="5" t="s">
        <v>328</v>
      </c>
      <c r="D8" s="5" t="s">
        <v>329</v>
      </c>
    </row>
    <row r="9" customFormat="false" ht="120.75" hidden="false" customHeight="true" outlineLevel="0" collapsed="false">
      <c r="A9" s="5" t="s">
        <v>330</v>
      </c>
      <c r="B9" s="5" t="s">
        <v>76</v>
      </c>
      <c r="C9" s="5" t="s">
        <v>331</v>
      </c>
      <c r="D9" s="5" t="s">
        <v>332</v>
      </c>
    </row>
    <row r="10" customFormat="false" ht="45.75" hidden="false" customHeight="true" outlineLevel="0" collapsed="false">
      <c r="A10" s="5" t="s">
        <v>333</v>
      </c>
      <c r="B10" s="5" t="n">
        <v>1</v>
      </c>
      <c r="C10" s="5" t="s">
        <v>334</v>
      </c>
      <c r="D10" s="5" t="s">
        <v>335</v>
      </c>
    </row>
    <row r="11" customFormat="false" ht="60.75" hidden="false" customHeight="true" outlineLevel="0" collapsed="false">
      <c r="A11" s="5" t="s">
        <v>336</v>
      </c>
      <c r="B11" s="5" t="n">
        <v>3</v>
      </c>
      <c r="C11" s="5" t="s">
        <v>334</v>
      </c>
      <c r="D11" s="5" t="s">
        <v>337</v>
      </c>
    </row>
    <row r="12" customFormat="false" ht="105.75" hidden="false" customHeight="true" outlineLevel="0" collapsed="false">
      <c r="A12" s="5" t="s">
        <v>338</v>
      </c>
      <c r="B12" s="6" t="s">
        <v>77</v>
      </c>
      <c r="C12" s="5" t="s">
        <v>339</v>
      </c>
      <c r="D12" s="5" t="s">
        <v>340</v>
      </c>
    </row>
    <row r="13" customFormat="false" ht="45.75" hidden="false" customHeight="true" outlineLevel="0" collapsed="false">
      <c r="A13" s="5" t="s">
        <v>341</v>
      </c>
      <c r="B13" s="6" t="s">
        <v>77</v>
      </c>
      <c r="C13" s="5" t="s">
        <v>339</v>
      </c>
      <c r="D13" s="5" t="s">
        <v>342</v>
      </c>
    </row>
    <row r="14" customFormat="false" ht="75.75" hidden="false" customHeight="true" outlineLevel="0" collapsed="false">
      <c r="A14" s="5" t="s">
        <v>343</v>
      </c>
      <c r="B14" s="6" t="s">
        <v>73</v>
      </c>
      <c r="C14" s="5" t="s">
        <v>339</v>
      </c>
      <c r="D14" s="5" t="s">
        <v>344</v>
      </c>
    </row>
    <row r="15" customFormat="false" ht="120.75" hidden="false" customHeight="true" outlineLevel="0" collapsed="false">
      <c r="A15" s="5" t="s">
        <v>345</v>
      </c>
      <c r="B15" s="5" t="s">
        <v>83</v>
      </c>
      <c r="C15" s="5" t="s">
        <v>346</v>
      </c>
      <c r="D15" s="5" t="s">
        <v>347</v>
      </c>
    </row>
    <row r="16" customFormat="false" ht="120.75" hidden="false" customHeight="true" outlineLevel="0" collapsed="false">
      <c r="A16" s="5" t="s">
        <v>348</v>
      </c>
      <c r="B16" s="5" t="s">
        <v>74</v>
      </c>
      <c r="C16" s="5" t="s">
        <v>346</v>
      </c>
      <c r="D16" s="5" t="s">
        <v>349</v>
      </c>
    </row>
    <row r="17" customFormat="false" ht="45.75" hidden="false" customHeight="true" outlineLevel="0" collapsed="false">
      <c r="A17" s="5" t="s">
        <v>350</v>
      </c>
      <c r="B17" s="5" t="s">
        <v>95</v>
      </c>
      <c r="C17" s="5" t="s">
        <v>346</v>
      </c>
      <c r="D17" s="5" t="s">
        <v>351</v>
      </c>
    </row>
    <row r="18" customFormat="false" ht="75.75" hidden="false" customHeight="true" outlineLevel="0" collapsed="false">
      <c r="A18" s="5" t="s">
        <v>352</v>
      </c>
      <c r="B18" s="5" t="s">
        <v>353</v>
      </c>
      <c r="C18" s="5" t="s">
        <v>346</v>
      </c>
      <c r="D18" s="5" t="s">
        <v>354</v>
      </c>
    </row>
    <row r="19" customFormat="false" ht="60.75" hidden="false" customHeight="true" outlineLevel="0" collapsed="false">
      <c r="A19" s="5" t="s">
        <v>355</v>
      </c>
      <c r="B19" s="5" t="s">
        <v>84</v>
      </c>
      <c r="C19" s="5" t="s">
        <v>356</v>
      </c>
      <c r="D19" s="5" t="s">
        <v>357</v>
      </c>
    </row>
    <row r="20" customFormat="false" ht="60.75" hidden="false" customHeight="true" outlineLevel="0" collapsed="false">
      <c r="A20" s="5" t="s">
        <v>358</v>
      </c>
      <c r="B20" s="5" t="s">
        <v>359</v>
      </c>
      <c r="C20" s="5" t="s">
        <v>356</v>
      </c>
      <c r="D20" s="5" t="s">
        <v>357</v>
      </c>
    </row>
    <row r="21" customFormat="false" ht="60.75" hidden="false" customHeight="true" outlineLevel="0" collapsed="false">
      <c r="A21" s="5" t="s">
        <v>360</v>
      </c>
      <c r="B21" s="5" t="n">
        <v>1180</v>
      </c>
      <c r="C21" s="5" t="s">
        <v>361</v>
      </c>
      <c r="D21" s="5" t="s">
        <v>362</v>
      </c>
    </row>
    <row r="22" customFormat="false" ht="60.75" hidden="false" customHeight="true" outlineLevel="0" collapsed="false">
      <c r="A22" s="5" t="s">
        <v>363</v>
      </c>
      <c r="B22" s="5" t="n">
        <v>2080</v>
      </c>
      <c r="C22" s="5" t="s">
        <v>361</v>
      </c>
      <c r="D22" s="5" t="s">
        <v>364</v>
      </c>
    </row>
    <row r="23" customFormat="false" ht="60.75" hidden="false" customHeight="true" outlineLevel="0" collapsed="false">
      <c r="A23" s="5" t="s">
        <v>365</v>
      </c>
      <c r="B23" s="5" t="n">
        <v>2160</v>
      </c>
      <c r="C23" s="5" t="s">
        <v>361</v>
      </c>
      <c r="D23" s="5" t="s">
        <v>366</v>
      </c>
    </row>
    <row r="24" customFormat="false" ht="60.75" hidden="false" customHeight="true" outlineLevel="0" collapsed="false">
      <c r="A24" s="5" t="s">
        <v>367</v>
      </c>
      <c r="B24" s="5" t="n">
        <v>2170</v>
      </c>
      <c r="C24" s="5" t="s">
        <v>361</v>
      </c>
      <c r="D24" s="5" t="s">
        <v>368</v>
      </c>
    </row>
    <row r="25" customFormat="false" ht="90.75" hidden="false" customHeight="true" outlineLevel="0" collapsed="false">
      <c r="A25" s="5" t="s">
        <v>369</v>
      </c>
      <c r="B25" s="5" t="n">
        <v>30</v>
      </c>
      <c r="C25" s="5" t="s">
        <v>370</v>
      </c>
      <c r="D25" s="5" t="s">
        <v>371</v>
      </c>
    </row>
    <row r="26" customFormat="false" ht="90.75" hidden="false" customHeight="true" outlineLevel="0" collapsed="false">
      <c r="A26" s="5" t="s">
        <v>372</v>
      </c>
      <c r="B26" s="5" t="s">
        <v>72</v>
      </c>
      <c r="C26" s="5" t="s">
        <v>373</v>
      </c>
      <c r="D26" s="5" t="s">
        <v>374</v>
      </c>
    </row>
    <row r="27" customFormat="false" ht="75.75" hidden="false" customHeight="true" outlineLevel="0" collapsed="false">
      <c r="A27" s="5" t="s">
        <v>375</v>
      </c>
      <c r="B27" s="5" t="s">
        <v>93</v>
      </c>
      <c r="C27" s="5" t="s">
        <v>373</v>
      </c>
      <c r="D27" s="5" t="s">
        <v>376</v>
      </c>
    </row>
    <row r="28" customFormat="false" ht="60.75" hidden="false" customHeight="true" outlineLevel="0" collapsed="false">
      <c r="A28" s="5" t="s">
        <v>377</v>
      </c>
      <c r="B28" s="5" t="s">
        <v>71</v>
      </c>
      <c r="C28" s="5" t="s">
        <v>373</v>
      </c>
      <c r="D28" s="5" t="s">
        <v>378</v>
      </c>
    </row>
    <row r="29" customFormat="false" ht="60.75" hidden="false" customHeight="true" outlineLevel="0" collapsed="false">
      <c r="A29" s="5" t="s">
        <v>379</v>
      </c>
      <c r="B29" s="5" t="s">
        <v>90</v>
      </c>
      <c r="C29" s="5" t="s">
        <v>373</v>
      </c>
      <c r="D29" s="5" t="s">
        <v>380</v>
      </c>
    </row>
    <row r="30" customFormat="false" ht="75.75" hidden="false" customHeight="true" outlineLevel="0" collapsed="false">
      <c r="A30" s="5" t="s">
        <v>381</v>
      </c>
      <c r="B30" s="6" t="s">
        <v>77</v>
      </c>
      <c r="C30" s="5" t="s">
        <v>339</v>
      </c>
      <c r="D30" s="5" t="s">
        <v>382</v>
      </c>
    </row>
    <row r="31" customFormat="false" ht="75.75" hidden="false" customHeight="true" outlineLevel="0" collapsed="false">
      <c r="A31" s="5" t="s">
        <v>383</v>
      </c>
      <c r="B31" s="6" t="s">
        <v>77</v>
      </c>
      <c r="C31" s="5" t="s">
        <v>339</v>
      </c>
      <c r="D31" s="5" t="s">
        <v>384</v>
      </c>
    </row>
    <row r="32" customFormat="false" ht="75.75" hidden="false" customHeight="true" outlineLevel="0" collapsed="false">
      <c r="A32" s="5" t="s">
        <v>385</v>
      </c>
      <c r="B32" s="6" t="s">
        <v>77</v>
      </c>
      <c r="C32" s="5" t="s">
        <v>339</v>
      </c>
      <c r="D32" s="5" t="s">
        <v>386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M17" activeCellId="0" sqref="M17"/>
    </sheetView>
  </sheetViews>
  <sheetFormatPr defaultColWidth="10.16015625" defaultRowHeight="12.75" zeroHeight="false" outlineLevelRow="0" outlineLevelCol="0"/>
  <sheetData>
    <row r="1" customFormat="false" ht="30.75" hidden="false" customHeight="true" outlineLevel="0" collapsed="false">
      <c r="A1" s="3" t="s">
        <v>387</v>
      </c>
      <c r="B1" s="3" t="s">
        <v>388</v>
      </c>
      <c r="C1" s="3" t="s">
        <v>141</v>
      </c>
      <c r="D1" s="3" t="s">
        <v>389</v>
      </c>
      <c r="E1" s="3" t="s">
        <v>390</v>
      </c>
      <c r="F1" s="3" t="s">
        <v>53</v>
      </c>
    </row>
    <row r="2" customFormat="false" ht="45.75" hidden="false" customHeight="true" outlineLevel="0" collapsed="false">
      <c r="A2" s="5" t="s">
        <v>391</v>
      </c>
      <c r="B2" s="5" t="s">
        <v>146</v>
      </c>
      <c r="C2" s="5" t="s">
        <v>148</v>
      </c>
      <c r="D2" s="5" t="s">
        <v>392</v>
      </c>
      <c r="E2" s="6" t="s">
        <v>393</v>
      </c>
      <c r="F2" s="5" t="s">
        <v>394</v>
      </c>
    </row>
    <row r="3" customFormat="false" ht="45.75" hidden="false" customHeight="true" outlineLevel="0" collapsed="false">
      <c r="A3" s="5" t="s">
        <v>391</v>
      </c>
      <c r="B3" s="5" t="s">
        <v>65</v>
      </c>
      <c r="C3" s="5" t="s">
        <v>176</v>
      </c>
      <c r="D3" s="5" t="s">
        <v>395</v>
      </c>
      <c r="E3" s="6" t="s">
        <v>393</v>
      </c>
      <c r="F3" s="5" t="s">
        <v>396</v>
      </c>
    </row>
    <row r="4" customFormat="false" ht="45.75" hidden="false" customHeight="true" outlineLevel="0" collapsed="false">
      <c r="A4" s="5" t="s">
        <v>391</v>
      </c>
      <c r="B4" s="5" t="s">
        <v>179</v>
      </c>
      <c r="C4" s="5" t="s">
        <v>176</v>
      </c>
      <c r="D4" s="5" t="s">
        <v>395</v>
      </c>
      <c r="E4" s="6" t="s">
        <v>393</v>
      </c>
      <c r="F4" s="5" t="s">
        <v>397</v>
      </c>
    </row>
    <row r="5" customFormat="false" ht="45.75" hidden="false" customHeight="true" outlineLevel="0" collapsed="false">
      <c r="A5" s="5" t="s">
        <v>398</v>
      </c>
      <c r="B5" s="5" t="s">
        <v>146</v>
      </c>
      <c r="C5" s="5" t="s">
        <v>148</v>
      </c>
      <c r="D5" s="5" t="s">
        <v>395</v>
      </c>
      <c r="E5" s="6" t="s">
        <v>393</v>
      </c>
      <c r="F5" s="5" t="s">
        <v>399</v>
      </c>
    </row>
    <row r="6" customFormat="false" ht="45.75" hidden="false" customHeight="true" outlineLevel="0" collapsed="false">
      <c r="A6" s="5" t="s">
        <v>398</v>
      </c>
      <c r="B6" s="5" t="s">
        <v>235</v>
      </c>
      <c r="C6" s="5" t="s">
        <v>148</v>
      </c>
      <c r="D6" s="5" t="s">
        <v>392</v>
      </c>
      <c r="E6" s="6" t="s">
        <v>393</v>
      </c>
      <c r="F6" s="5" t="s">
        <v>400</v>
      </c>
    </row>
    <row r="7" customFormat="false" ht="75.75" hidden="false" customHeight="true" outlineLevel="0" collapsed="false">
      <c r="A7" s="5" t="s">
        <v>398</v>
      </c>
      <c r="B7" s="5" t="s">
        <v>179</v>
      </c>
      <c r="C7" s="5" t="s">
        <v>176</v>
      </c>
      <c r="D7" s="5" t="s">
        <v>395</v>
      </c>
      <c r="E7" s="6" t="s">
        <v>393</v>
      </c>
      <c r="F7" s="5" t="s">
        <v>401</v>
      </c>
    </row>
    <row r="8" customFormat="false" ht="60.75" hidden="false" customHeight="true" outlineLevel="0" collapsed="false">
      <c r="A8" s="5" t="s">
        <v>402</v>
      </c>
      <c r="B8" s="5" t="s">
        <v>403</v>
      </c>
      <c r="C8" s="5" t="s">
        <v>403</v>
      </c>
      <c r="D8" s="5" t="s">
        <v>404</v>
      </c>
      <c r="E8" s="6" t="s">
        <v>393</v>
      </c>
      <c r="F8" s="5" t="s">
        <v>405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4296875" defaultRowHeight="15" zeroHeight="false" outlineLevelRow="0" outlineLevelCol="0"/>
  <cols>
    <col collapsed="false" customWidth="true" hidden="false" outlineLevel="0" max="1" min="1" style="15" width="10.43"/>
    <col collapsed="false" customWidth="true" hidden="false" outlineLevel="0" max="2" min="2" style="16" width="8.57"/>
    <col collapsed="false" customWidth="true" hidden="false" outlineLevel="0" max="3" min="3" style="16" width="38.14"/>
    <col collapsed="false" customWidth="true" hidden="false" outlineLevel="0" max="5" min="4" style="17" width="14.29"/>
    <col collapsed="false" customWidth="true" hidden="false" outlineLevel="0" max="6" min="6" style="17" width="26.47"/>
    <col collapsed="false" customWidth="true" hidden="false" outlineLevel="0" max="7" min="7" style="16" width="54.29"/>
    <col collapsed="false" customWidth="true" hidden="false" outlineLevel="0" max="8" min="8" style="16" width="50"/>
    <col collapsed="false" customWidth="true" hidden="false" outlineLevel="0" max="9" min="9" style="16" width="9.19"/>
    <col collapsed="false" customWidth="true" hidden="false" outlineLevel="0" max="11" min="10" style="17" width="14.29"/>
    <col collapsed="false" customWidth="false" hidden="false" outlineLevel="0" max="16384" min="12" style="16" width="11.43"/>
  </cols>
  <sheetData>
    <row r="1" customFormat="false" ht="15" hidden="false" customHeight="true" outlineLevel="0" collapsed="false">
      <c r="A1" s="18" t="s">
        <v>18</v>
      </c>
      <c r="B1" s="19" t="s">
        <v>42</v>
      </c>
      <c r="C1" s="19" t="s">
        <v>406</v>
      </c>
      <c r="D1" s="20" t="s">
        <v>392</v>
      </c>
      <c r="E1" s="20" t="s">
        <v>395</v>
      </c>
      <c r="F1" s="20" t="s">
        <v>387</v>
      </c>
      <c r="G1" s="19" t="s">
        <v>407</v>
      </c>
      <c r="H1" s="19" t="s">
        <v>408</v>
      </c>
      <c r="I1" s="19" t="s">
        <v>409</v>
      </c>
      <c r="J1" s="20" t="s">
        <v>5</v>
      </c>
      <c r="K1" s="20" t="s">
        <v>410</v>
      </c>
      <c r="L1" s="16" t="s">
        <v>411</v>
      </c>
      <c r="M1" s="16" t="s">
        <v>412</v>
      </c>
      <c r="N1" s="16" t="s">
        <v>413</v>
      </c>
      <c r="O1" s="16" t="s">
        <v>414</v>
      </c>
      <c r="P1" s="16" t="s">
        <v>415</v>
      </c>
      <c r="Q1" s="16" t="s">
        <v>416</v>
      </c>
      <c r="R1" s="16" t="s">
        <v>47</v>
      </c>
      <c r="S1" s="16" t="s">
        <v>48</v>
      </c>
      <c r="T1" s="16" t="s">
        <v>44</v>
      </c>
      <c r="U1" s="16" t="s">
        <v>417</v>
      </c>
    </row>
    <row r="2" customFormat="false" ht="15" hidden="false" customHeight="true" outlineLevel="0" collapsed="false"/>
    <row r="3" customFormat="false" ht="15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2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I59" activeCellId="0" sqref="I59"/>
    </sheetView>
  </sheetViews>
  <sheetFormatPr defaultColWidth="11.4296875" defaultRowHeight="15" zeroHeight="false" outlineLevelRow="0" outlineLevelCol="0"/>
  <cols>
    <col collapsed="false" customWidth="false" hidden="false" outlineLevel="0" max="1" min="1" style="16" width="11.43"/>
    <col collapsed="false" customWidth="true" hidden="false" outlineLevel="0" max="2" min="2" style="16" width="37"/>
    <col collapsed="false" customWidth="true" hidden="false" outlineLevel="0" max="5" min="3" style="17" width="17.14"/>
    <col collapsed="false" customWidth="false" hidden="false" outlineLevel="0" max="16384" min="6" style="16" width="11.43"/>
  </cols>
  <sheetData>
    <row r="1" customFormat="false" ht="15" hidden="false" customHeight="true" outlineLevel="0" collapsed="false">
      <c r="A1" s="21" t="s">
        <v>418</v>
      </c>
      <c r="B1" s="22" t="s">
        <v>419</v>
      </c>
      <c r="C1" s="23" t="s">
        <v>392</v>
      </c>
      <c r="D1" s="23" t="s">
        <v>395</v>
      </c>
      <c r="E1" s="23" t="s">
        <v>420</v>
      </c>
    </row>
    <row r="2" customFormat="false" ht="15" hidden="false" customHeight="true" outlineLevel="0" collapsed="false">
      <c r="A2" s="21" t="n">
        <v>1101</v>
      </c>
      <c r="B2" s="16" t="s">
        <v>145</v>
      </c>
      <c r="C2" s="17" t="n">
        <f aca="false">SUMIF(Movimientos!B:B,LibroMayor!$A2,Movimientos!D:D)</f>
        <v>0</v>
      </c>
      <c r="D2" s="17" t="n">
        <f aca="false">SUMIF(Movimientos!B:B,LibroMayor!$A2,Movimientos!E:E)</f>
        <v>0</v>
      </c>
      <c r="E2" s="17" t="n">
        <f aca="false">C2-D2</f>
        <v>0</v>
      </c>
    </row>
    <row r="3" customFormat="false" ht="15" hidden="false" customHeight="true" outlineLevel="0" collapsed="false">
      <c r="A3" s="21" t="n">
        <v>1102</v>
      </c>
      <c r="B3" s="16" t="s">
        <v>152</v>
      </c>
      <c r="C3" s="17" t="n">
        <f aca="false">SUMIF(Movimientos!B:B,LibroMayor!$A3,Movimientos!D:D)</f>
        <v>0</v>
      </c>
      <c r="D3" s="17" t="n">
        <f aca="false">SUMIF(Movimientos!B:B,LibroMayor!$A3,Movimientos!E:E)</f>
        <v>0</v>
      </c>
      <c r="E3" s="17" t="n">
        <f aca="false">C3-D3</f>
        <v>0</v>
      </c>
    </row>
    <row r="4" customFormat="false" ht="15" hidden="false" customHeight="true" outlineLevel="0" collapsed="false">
      <c r="A4" s="21" t="n">
        <v>1103</v>
      </c>
      <c r="B4" s="16" t="s">
        <v>154</v>
      </c>
      <c r="C4" s="17" t="n">
        <f aca="false">SUMIF(Movimientos!B:B,LibroMayor!$A4,Movimientos!D:D)</f>
        <v>0</v>
      </c>
      <c r="D4" s="17" t="n">
        <f aca="false">SUMIF(Movimientos!B:B,LibroMayor!$A4,Movimientos!E:E)</f>
        <v>0</v>
      </c>
      <c r="E4" s="17" t="n">
        <f aca="false">C4-D4</f>
        <v>0</v>
      </c>
    </row>
    <row r="5" customFormat="false" ht="15" hidden="false" customHeight="true" outlineLevel="0" collapsed="false">
      <c r="A5" s="21" t="n">
        <v>1104</v>
      </c>
      <c r="B5" s="16" t="s">
        <v>157</v>
      </c>
      <c r="C5" s="17" t="n">
        <f aca="false">SUMIF(Movimientos!B:B,LibroMayor!$A5,Movimientos!D:D)</f>
        <v>0</v>
      </c>
      <c r="D5" s="17" t="n">
        <f aca="false">SUMIF(Movimientos!B:B,LibroMayor!$A5,Movimientos!E:E)</f>
        <v>0</v>
      </c>
      <c r="E5" s="17" t="n">
        <f aca="false">C5-D5</f>
        <v>0</v>
      </c>
    </row>
    <row r="6" customFormat="false" ht="15" hidden="false" customHeight="true" outlineLevel="0" collapsed="false">
      <c r="A6" s="21" t="n">
        <v>1105</v>
      </c>
      <c r="B6" s="16" t="s">
        <v>160</v>
      </c>
      <c r="C6" s="17" t="n">
        <f aca="false">SUMIF(Movimientos!B:B,LibroMayor!$A6,Movimientos!D:D)</f>
        <v>0</v>
      </c>
      <c r="D6" s="17" t="n">
        <f aca="false">SUMIF(Movimientos!B:B,LibroMayor!$A6,Movimientos!E:E)</f>
        <v>0</v>
      </c>
      <c r="E6" s="17" t="n">
        <f aca="false">C6-D6</f>
        <v>0</v>
      </c>
    </row>
    <row r="7" customFormat="false" ht="15" hidden="false" customHeight="true" outlineLevel="0" collapsed="false">
      <c r="A7" s="21" t="n">
        <v>1106</v>
      </c>
      <c r="B7" s="16" t="s">
        <v>162</v>
      </c>
      <c r="C7" s="17" t="n">
        <f aca="false">SUMIF(Movimientos!B:B,LibroMayor!$A7,Movimientos!D:D)</f>
        <v>0</v>
      </c>
      <c r="D7" s="17" t="n">
        <f aca="false">SUMIF(Movimientos!B:B,LibroMayor!$A7,Movimientos!E:E)</f>
        <v>0</v>
      </c>
      <c r="E7" s="17" t="n">
        <f aca="false">C7-D7</f>
        <v>0</v>
      </c>
    </row>
    <row r="8" customFormat="false" ht="15" hidden="false" customHeight="true" outlineLevel="0" collapsed="false">
      <c r="A8" s="21" t="n">
        <v>1201</v>
      </c>
      <c r="B8" s="16" t="s">
        <v>165</v>
      </c>
      <c r="C8" s="17" t="n">
        <f aca="false">SUMIF(Movimientos!B:B,LibroMayor!$A8,Movimientos!D:D)</f>
        <v>0</v>
      </c>
      <c r="D8" s="17" t="n">
        <f aca="false">SUMIF(Movimientos!B:B,LibroMayor!$A8,Movimientos!E:E)</f>
        <v>0</v>
      </c>
      <c r="E8" s="17" t="n">
        <f aca="false">C8-D8</f>
        <v>0</v>
      </c>
    </row>
    <row r="9" customFormat="false" ht="15" hidden="false" customHeight="true" outlineLevel="0" collapsed="false">
      <c r="A9" s="21" t="n">
        <v>1202</v>
      </c>
      <c r="B9" s="16" t="s">
        <v>169</v>
      </c>
      <c r="C9" s="17" t="n">
        <f aca="false">SUMIF(Movimientos!B:B,LibroMayor!$A9,Movimientos!D:D)</f>
        <v>0</v>
      </c>
      <c r="D9" s="17" t="n">
        <f aca="false">SUMIF(Movimientos!B:B,LibroMayor!$A9,Movimientos!E:E)</f>
        <v>0</v>
      </c>
      <c r="E9" s="17" t="n">
        <f aca="false">C9-D9</f>
        <v>0</v>
      </c>
    </row>
    <row r="10" customFormat="false" ht="15" hidden="false" customHeight="true" outlineLevel="0" collapsed="false">
      <c r="A10" s="21" t="n">
        <v>1203</v>
      </c>
      <c r="B10" s="16" t="s">
        <v>171</v>
      </c>
      <c r="C10" s="17" t="n">
        <f aca="false">SUMIF(Movimientos!B:B,LibroMayor!$A10,Movimientos!D:D)</f>
        <v>0</v>
      </c>
      <c r="D10" s="17" t="n">
        <f aca="false">SUMIF(Movimientos!B:B,LibroMayor!$A10,Movimientos!E:E)</f>
        <v>0</v>
      </c>
      <c r="E10" s="17" t="n">
        <f aca="false">C10-D10</f>
        <v>0</v>
      </c>
    </row>
    <row r="11" customFormat="false" ht="15" hidden="false" customHeight="true" outlineLevel="0" collapsed="false">
      <c r="A11" s="21" t="n">
        <v>1204</v>
      </c>
      <c r="B11" s="16" t="s">
        <v>173</v>
      </c>
      <c r="C11" s="17" t="n">
        <f aca="false">SUMIF(Movimientos!B:B,LibroMayor!$A11,Movimientos!D:D)</f>
        <v>0</v>
      </c>
      <c r="D11" s="17" t="n">
        <f aca="false">SUMIF(Movimientos!B:B,LibroMayor!$A11,Movimientos!E:E)</f>
        <v>0</v>
      </c>
      <c r="E11" s="17" t="n">
        <f aca="false">C11-D11</f>
        <v>0</v>
      </c>
    </row>
    <row r="12" customFormat="false" ht="15" hidden="false" customHeight="true" outlineLevel="0" collapsed="false">
      <c r="A12" s="21" t="n">
        <v>1205</v>
      </c>
      <c r="B12" s="16" t="s">
        <v>175</v>
      </c>
      <c r="C12" s="17" t="n">
        <f aca="false">SUMIF(Movimientos!B:B,LibroMayor!$A12,Movimientos!D:D)</f>
        <v>0</v>
      </c>
      <c r="D12" s="17" t="n">
        <f aca="false">SUMIF(Movimientos!B:B,LibroMayor!$A12,Movimientos!E:E)</f>
        <v>0</v>
      </c>
      <c r="E12" s="17" t="n">
        <f aca="false">C12-D12</f>
        <v>0</v>
      </c>
    </row>
    <row r="13" customFormat="false" ht="15" hidden="false" customHeight="true" outlineLevel="0" collapsed="false">
      <c r="A13" s="21" t="n">
        <v>2101</v>
      </c>
      <c r="B13" s="16" t="s">
        <v>178</v>
      </c>
      <c r="C13" s="17" t="n">
        <f aca="false">SUMIF(Movimientos!B:B,LibroMayor!$A13,Movimientos!D:D)</f>
        <v>0</v>
      </c>
      <c r="D13" s="17" t="n">
        <f aca="false">SUMIF(Movimientos!B:B,LibroMayor!$A13,Movimientos!E:E)</f>
        <v>0</v>
      </c>
      <c r="E13" s="17" t="n">
        <f aca="false">D13-C13</f>
        <v>0</v>
      </c>
    </row>
    <row r="14" customFormat="false" ht="15" hidden="false" customHeight="true" outlineLevel="0" collapsed="false">
      <c r="A14" s="21" t="n">
        <v>2102</v>
      </c>
      <c r="B14" s="16" t="s">
        <v>182</v>
      </c>
      <c r="C14" s="17" t="n">
        <f aca="false">SUMIF(Movimientos!B:B,LibroMayor!$A14,Movimientos!D:D)</f>
        <v>0</v>
      </c>
      <c r="D14" s="17" t="n">
        <f aca="false">SUMIF(Movimientos!B:B,LibroMayor!$A14,Movimientos!E:E)</f>
        <v>0</v>
      </c>
      <c r="E14" s="17" t="n">
        <f aca="false">D14-C14</f>
        <v>0</v>
      </c>
    </row>
    <row r="15" customFormat="false" ht="15" hidden="false" customHeight="true" outlineLevel="0" collapsed="false">
      <c r="A15" s="21" t="n">
        <v>2103</v>
      </c>
      <c r="B15" s="16" t="s">
        <v>184</v>
      </c>
      <c r="C15" s="17" t="n">
        <f aca="false">SUMIF(Movimientos!B:B,LibroMayor!$A15,Movimientos!D:D)</f>
        <v>0</v>
      </c>
      <c r="D15" s="17" t="n">
        <f aca="false">SUMIF(Movimientos!B:B,LibroMayor!$A15,Movimientos!E:E)</f>
        <v>0</v>
      </c>
      <c r="E15" s="17" t="n">
        <f aca="false">D15-C15</f>
        <v>0</v>
      </c>
    </row>
    <row r="16" customFormat="false" ht="15" hidden="false" customHeight="true" outlineLevel="0" collapsed="false">
      <c r="A16" s="21" t="n">
        <v>2104</v>
      </c>
      <c r="B16" s="16" t="s">
        <v>186</v>
      </c>
      <c r="C16" s="17" t="n">
        <f aca="false">SUMIF(Movimientos!B:B,LibroMayor!$A16,Movimientos!D:D)</f>
        <v>0</v>
      </c>
      <c r="D16" s="17" t="n">
        <f aca="false">SUMIF(Movimientos!B:B,LibroMayor!$A16,Movimientos!E:E)</f>
        <v>0</v>
      </c>
      <c r="E16" s="17" t="n">
        <f aca="false">D16-C16</f>
        <v>0</v>
      </c>
    </row>
    <row r="17" customFormat="false" ht="15" hidden="false" customHeight="true" outlineLevel="0" collapsed="false">
      <c r="A17" s="21" t="n">
        <v>2201</v>
      </c>
      <c r="B17" s="16" t="s">
        <v>189</v>
      </c>
      <c r="C17" s="17" t="n">
        <f aca="false">SUMIF(Movimientos!B:B,LibroMayor!$A17,Movimientos!D:D)</f>
        <v>0</v>
      </c>
      <c r="D17" s="17" t="n">
        <f aca="false">SUMIF(Movimientos!B:B,LibroMayor!$A17,Movimientos!E:E)</f>
        <v>0</v>
      </c>
      <c r="E17" s="17" t="n">
        <f aca="false">D17-C17</f>
        <v>0</v>
      </c>
    </row>
    <row r="18" customFormat="false" ht="15" hidden="false" customHeight="true" outlineLevel="0" collapsed="false">
      <c r="A18" s="21" t="n">
        <v>2202</v>
      </c>
      <c r="B18" s="16" t="s">
        <v>192</v>
      </c>
      <c r="C18" s="17" t="n">
        <f aca="false">SUMIF(Movimientos!B:B,LibroMayor!$A18,Movimientos!D:D)</f>
        <v>0</v>
      </c>
      <c r="D18" s="17" t="n">
        <f aca="false">SUMIF(Movimientos!B:B,LibroMayor!$A18,Movimientos!E:E)</f>
        <v>0</v>
      </c>
      <c r="E18" s="17" t="n">
        <f aca="false">D18-C18</f>
        <v>0</v>
      </c>
    </row>
    <row r="19" customFormat="false" ht="15" hidden="false" customHeight="true" outlineLevel="0" collapsed="false">
      <c r="A19" s="21" t="n">
        <v>3101</v>
      </c>
      <c r="B19" s="16" t="s">
        <v>194</v>
      </c>
      <c r="C19" s="17" t="n">
        <f aca="false">SUMIF(Movimientos!B:B,LibroMayor!$A19,Movimientos!D:D)</f>
        <v>0</v>
      </c>
      <c r="D19" s="17" t="n">
        <f aca="false">SUMIF(Movimientos!B:B,LibroMayor!$A19,Movimientos!E:E)</f>
        <v>0</v>
      </c>
      <c r="E19" s="17" t="n">
        <f aca="false">D19-C19</f>
        <v>0</v>
      </c>
    </row>
    <row r="20" customFormat="false" ht="15" hidden="false" customHeight="true" outlineLevel="0" collapsed="false">
      <c r="A20" s="21" t="n">
        <v>3102</v>
      </c>
      <c r="B20" s="16" t="s">
        <v>198</v>
      </c>
      <c r="C20" s="17" t="n">
        <f aca="false">SUMIF(Movimientos!B:B,LibroMayor!$A20,Movimientos!D:D)</f>
        <v>0</v>
      </c>
      <c r="D20" s="17" t="n">
        <f aca="false">SUMIF(Movimientos!B:B,LibroMayor!$A20,Movimientos!E:E)</f>
        <v>0</v>
      </c>
      <c r="E20" s="17" t="n">
        <f aca="false">D20-C20</f>
        <v>0</v>
      </c>
    </row>
    <row r="21" customFormat="false" ht="15" hidden="false" customHeight="true" outlineLevel="0" collapsed="false">
      <c r="A21" s="21" t="n">
        <v>3103</v>
      </c>
      <c r="B21" s="16" t="s">
        <v>201</v>
      </c>
      <c r="E21" s="17" t="n">
        <f aca="false">ReportesFinancieros!C72</f>
        <v>0</v>
      </c>
    </row>
    <row r="22" customFormat="false" ht="15" hidden="false" customHeight="true" outlineLevel="0" collapsed="false">
      <c r="A22" s="21" t="n">
        <v>3104</v>
      </c>
      <c r="B22" s="16" t="s">
        <v>204</v>
      </c>
      <c r="C22" s="17" t="n">
        <f aca="false">SUMIF(Movimientos!B:B,LibroMayor!$A22,Movimientos!D:D)</f>
        <v>0</v>
      </c>
      <c r="D22" s="17" t="n">
        <f aca="false">SUMIF(Movimientos!B:B,LibroMayor!$A22,Movimientos!E:E)</f>
        <v>0</v>
      </c>
      <c r="E22" s="17" t="n">
        <f aca="false">D22-C22</f>
        <v>0</v>
      </c>
    </row>
    <row r="23" customFormat="false" ht="15" hidden="false" customHeight="true" outlineLevel="0" collapsed="false">
      <c r="A23" s="21" t="n">
        <v>4101</v>
      </c>
      <c r="B23" s="16" t="s">
        <v>207</v>
      </c>
      <c r="C23" s="17" t="n">
        <f aca="false">SUMIF(Movimientos!B:B,LibroMayor!$A23,Movimientos!D:D)</f>
        <v>0</v>
      </c>
      <c r="D23" s="17" t="n">
        <f aca="false">SUMIF(Movimientos!B:B,LibroMayor!$A23,Movimientos!E:E)</f>
        <v>0</v>
      </c>
      <c r="E23" s="17" t="n">
        <f aca="false">D23-C23</f>
        <v>0</v>
      </c>
    </row>
    <row r="24" customFormat="false" ht="15" hidden="false" customHeight="true" outlineLevel="0" collapsed="false">
      <c r="A24" s="21" t="n">
        <v>4102</v>
      </c>
      <c r="B24" s="16" t="s">
        <v>213</v>
      </c>
      <c r="C24" s="17" t="n">
        <f aca="false">SUMIF(Movimientos!B:B,LibroMayor!$A24,Movimientos!D:D)</f>
        <v>0</v>
      </c>
      <c r="D24" s="17" t="n">
        <f aca="false">SUMIF(Movimientos!B:B,LibroMayor!$A24,Movimientos!E:E)</f>
        <v>0</v>
      </c>
      <c r="E24" s="17" t="n">
        <f aca="false">D24-C24</f>
        <v>0</v>
      </c>
    </row>
    <row r="25" customFormat="false" ht="15" hidden="false" customHeight="true" outlineLevel="0" collapsed="false">
      <c r="A25" s="21" t="n">
        <v>4103</v>
      </c>
      <c r="B25" s="16" t="s">
        <v>216</v>
      </c>
      <c r="C25" s="17" t="n">
        <f aca="false">SUMIF(Movimientos!B:B,LibroMayor!$A25,Movimientos!D:D)</f>
        <v>0</v>
      </c>
      <c r="D25" s="17" t="n">
        <f aca="false">SUMIF(Movimientos!B:B,LibroMayor!$A25,Movimientos!E:E)</f>
        <v>0</v>
      </c>
      <c r="E25" s="17" t="n">
        <f aca="false">D25-C25</f>
        <v>0</v>
      </c>
    </row>
    <row r="26" customFormat="false" ht="15" hidden="false" customHeight="true" outlineLevel="0" collapsed="false">
      <c r="A26" s="21" t="n">
        <v>4104</v>
      </c>
      <c r="B26" s="16" t="s">
        <v>219</v>
      </c>
      <c r="C26" s="17" t="n">
        <f aca="false">SUMIF(Movimientos!B:B,LibroMayor!$A26,Movimientos!D:D)</f>
        <v>0</v>
      </c>
      <c r="D26" s="17" t="n">
        <f aca="false">SUMIF(Movimientos!B:B,LibroMayor!$A26,Movimientos!E:E)</f>
        <v>0</v>
      </c>
      <c r="E26" s="17" t="n">
        <f aca="false">D26-C26</f>
        <v>0</v>
      </c>
    </row>
    <row r="27" customFormat="false" ht="15" hidden="false" customHeight="true" outlineLevel="0" collapsed="false">
      <c r="A27" s="21" t="n">
        <v>4201</v>
      </c>
      <c r="B27" s="16" t="s">
        <v>222</v>
      </c>
      <c r="C27" s="17" t="n">
        <f aca="false">SUMIF(Movimientos!B:B,LibroMayor!$A27,Movimientos!D:D)</f>
        <v>0</v>
      </c>
      <c r="D27" s="17" t="n">
        <f aca="false">SUMIF(Movimientos!B:B,LibroMayor!$A27,Movimientos!E:E)</f>
        <v>0</v>
      </c>
      <c r="E27" s="17" t="n">
        <f aca="false">D27-C27</f>
        <v>0</v>
      </c>
    </row>
    <row r="28" customFormat="false" ht="15" hidden="false" customHeight="true" outlineLevel="0" collapsed="false">
      <c r="A28" s="21" t="n">
        <v>4202</v>
      </c>
      <c r="B28" s="16" t="s">
        <v>102</v>
      </c>
      <c r="C28" s="17" t="n">
        <f aca="false">SUMIF(Movimientos!B:B,LibroMayor!$A28,Movimientos!D:D)</f>
        <v>0</v>
      </c>
      <c r="D28" s="17" t="n">
        <f aca="false">SUMIF(Movimientos!B:B,LibroMayor!$A28,Movimientos!E:E)</f>
        <v>0</v>
      </c>
      <c r="E28" s="17" t="n">
        <f aca="false">D28-C28</f>
        <v>0</v>
      </c>
    </row>
    <row r="29" customFormat="false" ht="15" hidden="false" customHeight="true" outlineLevel="0" collapsed="false">
      <c r="A29" s="21" t="n">
        <v>4203</v>
      </c>
      <c r="B29" s="16" t="s">
        <v>227</v>
      </c>
      <c r="C29" s="17" t="n">
        <f aca="false">SUMIF(Movimientos!B:B,LibroMayor!$A29,Movimientos!D:D)</f>
        <v>0</v>
      </c>
      <c r="D29" s="17" t="n">
        <f aca="false">SUMIF(Movimientos!B:B,LibroMayor!$A29,Movimientos!E:E)</f>
        <v>0</v>
      </c>
      <c r="E29" s="17" t="n">
        <f aca="false">D29-C29</f>
        <v>0</v>
      </c>
    </row>
    <row r="30" customFormat="false" ht="15" hidden="false" customHeight="true" outlineLevel="0" collapsed="false">
      <c r="A30" s="21" t="n">
        <v>4301</v>
      </c>
      <c r="B30" s="16" t="s">
        <v>127</v>
      </c>
      <c r="C30" s="17" t="n">
        <f aca="false">SUMIF(Movimientos!B:B,LibroMayor!$A30,Movimientos!D:D)</f>
        <v>0</v>
      </c>
      <c r="D30" s="17" t="n">
        <f aca="false">SUMIF(Movimientos!B:B,LibroMayor!$A30,Movimientos!E:E)</f>
        <v>0</v>
      </c>
      <c r="E30" s="17" t="n">
        <f aca="false">D30-C30</f>
        <v>0</v>
      </c>
    </row>
    <row r="31" customFormat="false" ht="15" hidden="false" customHeight="true" outlineLevel="0" collapsed="false">
      <c r="A31" s="21" t="n">
        <v>4302</v>
      </c>
      <c r="B31" s="16" t="s">
        <v>96</v>
      </c>
      <c r="C31" s="17" t="n">
        <f aca="false">SUMIF(Movimientos!B:B,LibroMayor!$A31,Movimientos!D:D)</f>
        <v>0</v>
      </c>
      <c r="D31" s="17" t="n">
        <f aca="false">SUMIF(Movimientos!B:B,LibroMayor!$A31,Movimientos!E:E)</f>
        <v>0</v>
      </c>
      <c r="E31" s="17" t="n">
        <f aca="false">D31-C31</f>
        <v>0</v>
      </c>
    </row>
    <row r="32" customFormat="false" ht="15" hidden="false" customHeight="true" outlineLevel="0" collapsed="false">
      <c r="A32" s="21" t="n">
        <v>5101</v>
      </c>
      <c r="B32" s="16" t="s">
        <v>234</v>
      </c>
      <c r="C32" s="17" t="n">
        <f aca="false">SUMIF(Movimientos!B:B,LibroMayor!$A32,Movimientos!D:D)</f>
        <v>0</v>
      </c>
      <c r="D32" s="17" t="n">
        <f aca="false">SUMIF(Movimientos!B:B,LibroMayor!$A32,Movimientos!E:E)</f>
        <v>0</v>
      </c>
      <c r="E32" s="17" t="n">
        <f aca="false">C32-D32</f>
        <v>0</v>
      </c>
    </row>
    <row r="33" customFormat="false" ht="15" hidden="false" customHeight="true" outlineLevel="0" collapsed="false">
      <c r="A33" s="21" t="n">
        <v>5102</v>
      </c>
      <c r="B33" s="16" t="s">
        <v>421</v>
      </c>
      <c r="C33" s="17" t="n">
        <f aca="false">SUMIF(Movimientos!B:B,LibroMayor!$A33,Movimientos!D:D)</f>
        <v>0</v>
      </c>
      <c r="D33" s="17" t="n">
        <f aca="false">SUMIF(Movimientos!B:B,LibroMayor!$A33,Movimientos!E:E)</f>
        <v>0</v>
      </c>
      <c r="E33" s="17" t="n">
        <f aca="false">C33-D33</f>
        <v>0</v>
      </c>
    </row>
    <row r="34" customFormat="false" ht="15" hidden="false" customHeight="true" outlineLevel="0" collapsed="false">
      <c r="A34" s="21" t="n">
        <v>5103</v>
      </c>
      <c r="B34" s="16" t="s">
        <v>108</v>
      </c>
      <c r="C34" s="17" t="n">
        <f aca="false">SUMIF(Movimientos!B:B,LibroMayor!$A34,Movimientos!D:D)</f>
        <v>0</v>
      </c>
      <c r="D34" s="17" t="n">
        <f aca="false">SUMIF(Movimientos!B:B,LibroMayor!$A34,Movimientos!E:E)</f>
        <v>0</v>
      </c>
      <c r="E34" s="17" t="n">
        <f aca="false">C34-D34</f>
        <v>0</v>
      </c>
    </row>
    <row r="35" customFormat="false" ht="15" hidden="false" customHeight="true" outlineLevel="0" collapsed="false">
      <c r="A35" s="21" t="n">
        <v>5104</v>
      </c>
      <c r="B35" s="16" t="s">
        <v>110</v>
      </c>
      <c r="C35" s="17" t="n">
        <f aca="false">SUMIF(Movimientos!B:B,LibroMayor!$A35,Movimientos!D:D)</f>
        <v>0</v>
      </c>
      <c r="D35" s="17" t="n">
        <f aca="false">SUMIF(Movimientos!B:B,LibroMayor!$A35,Movimientos!E:E)</f>
        <v>0</v>
      </c>
      <c r="E35" s="17" t="n">
        <f aca="false">C35-D35</f>
        <v>0</v>
      </c>
    </row>
    <row r="36" customFormat="false" ht="15" hidden="false" customHeight="true" outlineLevel="0" collapsed="false">
      <c r="A36" s="21" t="n">
        <v>5105</v>
      </c>
      <c r="B36" s="16" t="s">
        <v>112</v>
      </c>
      <c r="C36" s="17" t="n">
        <f aca="false">SUMIF(Movimientos!B:B,LibroMayor!$A36,Movimientos!D:D)</f>
        <v>0</v>
      </c>
      <c r="D36" s="17" t="n">
        <f aca="false">SUMIF(Movimientos!B:B,LibroMayor!$A36,Movimientos!E:E)</f>
        <v>0</v>
      </c>
      <c r="E36" s="17" t="n">
        <f aca="false">C36-D36</f>
        <v>0</v>
      </c>
    </row>
    <row r="37" customFormat="false" ht="15" hidden="false" customHeight="true" outlineLevel="0" collapsed="false">
      <c r="A37" s="21" t="n">
        <v>5201</v>
      </c>
      <c r="B37" s="16" t="s">
        <v>114</v>
      </c>
      <c r="C37" s="17" t="n">
        <f aca="false">SUMIF(Movimientos!B:B,LibroMayor!$A37,Movimientos!D:D)</f>
        <v>0</v>
      </c>
      <c r="D37" s="17" t="n">
        <f aca="false">SUMIF(Movimientos!B:B,LibroMayor!$A37,Movimientos!E:E)</f>
        <v>0</v>
      </c>
      <c r="E37" s="17" t="n">
        <f aca="false">C37-D37</f>
        <v>0</v>
      </c>
    </row>
    <row r="38" customFormat="false" ht="15" hidden="false" customHeight="true" outlineLevel="0" collapsed="false">
      <c r="A38" s="21" t="n">
        <v>5202</v>
      </c>
      <c r="B38" s="16" t="s">
        <v>85</v>
      </c>
      <c r="C38" s="17" t="n">
        <f aca="false">SUMIF(Movimientos!B:B,LibroMayor!$A38,Movimientos!D:D)</f>
        <v>0</v>
      </c>
      <c r="D38" s="17" t="n">
        <f aca="false">SUMIF(Movimientos!B:B,LibroMayor!$A38,Movimientos!E:E)</f>
        <v>0</v>
      </c>
      <c r="E38" s="17" t="n">
        <f aca="false">C38-D38</f>
        <v>0</v>
      </c>
    </row>
    <row r="39" customFormat="false" ht="15" hidden="false" customHeight="true" outlineLevel="0" collapsed="false">
      <c r="A39" s="21" t="n">
        <v>5203</v>
      </c>
      <c r="B39" s="16" t="s">
        <v>247</v>
      </c>
      <c r="C39" s="17" t="n">
        <f aca="false">SUMIF(Movimientos!B:B,LibroMayor!$A39,Movimientos!D:D)</f>
        <v>0</v>
      </c>
      <c r="D39" s="17" t="n">
        <f aca="false">SUMIF(Movimientos!B:B,LibroMayor!$A39,Movimientos!E:E)</f>
        <v>0</v>
      </c>
      <c r="E39" s="17" t="n">
        <f aca="false">C39-D39</f>
        <v>0</v>
      </c>
    </row>
    <row r="40" customFormat="false" ht="15" hidden="false" customHeight="true" outlineLevel="0" collapsed="false">
      <c r="A40" s="21" t="n">
        <v>5301</v>
      </c>
      <c r="B40" s="16" t="s">
        <v>249</v>
      </c>
      <c r="C40" s="17" t="n">
        <f aca="false">SUMIF(Movimientos!B:B,LibroMayor!$A40,Movimientos!D:D)</f>
        <v>0</v>
      </c>
      <c r="D40" s="17" t="n">
        <f aca="false">SUMIF(Movimientos!B:B,LibroMayor!$A40,Movimientos!E:E)</f>
        <v>0</v>
      </c>
      <c r="E40" s="17" t="n">
        <f aca="false">C40-D40</f>
        <v>0</v>
      </c>
    </row>
    <row r="41" customFormat="false" ht="15" hidden="false" customHeight="true" outlineLevel="0" collapsed="false">
      <c r="A41" s="21" t="n">
        <v>5302</v>
      </c>
      <c r="B41" s="16" t="s">
        <v>252</v>
      </c>
      <c r="C41" s="17" t="n">
        <f aca="false">SUMIF(Movimientos!B:B,LibroMayor!$A41,Movimientos!D:D)</f>
        <v>0</v>
      </c>
      <c r="D41" s="17" t="n">
        <f aca="false">SUMIF(Movimientos!B:B,LibroMayor!$A41,Movimientos!E:E)</f>
        <v>0</v>
      </c>
      <c r="E41" s="17" t="n">
        <f aca="false">C41-D41</f>
        <v>0</v>
      </c>
    </row>
    <row r="42" customFormat="false" ht="15" hidden="false" customHeight="true" outlineLevel="0" collapsed="false">
      <c r="A42" s="21" t="n">
        <v>5303</v>
      </c>
      <c r="B42" s="16" t="s">
        <v>254</v>
      </c>
      <c r="C42" s="17" t="n">
        <f aca="false">SUMIF(Movimientos!B:B,LibroMayor!$A42,Movimientos!D:D)</f>
        <v>0</v>
      </c>
      <c r="D42" s="17" t="n">
        <f aca="false">SUMIF(Movimientos!B:B,LibroMayor!$A42,Movimientos!E:E)</f>
        <v>0</v>
      </c>
      <c r="E42" s="17" t="n">
        <f aca="false">C42-D42</f>
        <v>0</v>
      </c>
    </row>
    <row r="43" customFormat="false" ht="15" hidden="false" customHeight="true" outlineLevel="0" collapsed="false">
      <c r="A43" s="21" t="n">
        <v>5401</v>
      </c>
      <c r="B43" s="16" t="s">
        <v>256</v>
      </c>
      <c r="C43" s="17" t="n">
        <f aca="false">SUMIF(Movimientos!B:B,LibroMayor!$A43,Movimientos!D:D)</f>
        <v>0</v>
      </c>
      <c r="D43" s="17" t="n">
        <f aca="false">SUMIF(Movimientos!B:B,LibroMayor!$A43,Movimientos!E:E)</f>
        <v>0</v>
      </c>
      <c r="E43" s="17" t="n">
        <f aca="false">C43-D43</f>
        <v>0</v>
      </c>
    </row>
    <row r="44" customFormat="false" ht="15" hidden="false" customHeight="true" outlineLevel="0" collapsed="false">
      <c r="A44" s="21" t="n">
        <v>5402</v>
      </c>
      <c r="B44" s="16" t="s">
        <v>119</v>
      </c>
      <c r="C44" s="17" t="n">
        <f aca="false">SUMIF(Movimientos!B:B,LibroMayor!$A44,Movimientos!D:D)</f>
        <v>0</v>
      </c>
      <c r="D44" s="17" t="n">
        <f aca="false">SUMIF(Movimientos!B:B,LibroMayor!$A44,Movimientos!E:E)</f>
        <v>0</v>
      </c>
      <c r="E44" s="17" t="n">
        <f aca="false">C44-D44</f>
        <v>0</v>
      </c>
    </row>
    <row r="45" customFormat="false" ht="15" hidden="false" customHeight="true" outlineLevel="0" collapsed="false">
      <c r="A45" s="21" t="n">
        <v>5403</v>
      </c>
      <c r="B45" s="16" t="s">
        <v>121</v>
      </c>
      <c r="C45" s="17" t="n">
        <f aca="false">SUMIF(Movimientos!B:B,LibroMayor!$A45,Movimientos!D:D)</f>
        <v>0</v>
      </c>
      <c r="D45" s="17" t="n">
        <f aca="false">SUMIF(Movimientos!B:B,LibroMayor!$A45,Movimientos!E:E)</f>
        <v>0</v>
      </c>
      <c r="E45" s="17" t="n">
        <f aca="false">C45-D45</f>
        <v>0</v>
      </c>
    </row>
    <row r="46" customFormat="false" ht="15" hidden="false" customHeight="true" outlineLevel="0" collapsed="false">
      <c r="A46" s="21" t="n">
        <v>5404</v>
      </c>
      <c r="B46" s="16" t="s">
        <v>263</v>
      </c>
      <c r="C46" s="17" t="n">
        <f aca="false">SUMIF(Movimientos!B:B,LibroMayor!$A46,Movimientos!D:D)</f>
        <v>0</v>
      </c>
      <c r="D46" s="17" t="n">
        <f aca="false">SUMIF(Movimientos!B:B,LibroMayor!$A46,Movimientos!E:E)</f>
        <v>0</v>
      </c>
      <c r="E46" s="17" t="n">
        <f aca="false">C46-D46</f>
        <v>0</v>
      </c>
    </row>
    <row r="47" customFormat="false" ht="15" hidden="false" customHeight="true" outlineLevel="0" collapsed="false">
      <c r="A47" s="21" t="n">
        <v>5405</v>
      </c>
      <c r="B47" s="16" t="s">
        <v>265</v>
      </c>
      <c r="C47" s="17" t="n">
        <f aca="false">SUMIF(Movimientos!B:B,LibroMayor!$A47,Movimientos!D:D)</f>
        <v>0</v>
      </c>
      <c r="D47" s="17" t="n">
        <f aca="false">SUMIF(Movimientos!B:B,LibroMayor!$A47,Movimientos!E:E)</f>
        <v>0</v>
      </c>
      <c r="E47" s="17" t="n">
        <f aca="false">C47-D47</f>
        <v>0</v>
      </c>
    </row>
    <row r="48" customFormat="false" ht="15" hidden="false" customHeight="true" outlineLevel="0" collapsed="false">
      <c r="A48" s="21" t="n">
        <v>1180</v>
      </c>
      <c r="B48" s="16" t="s">
        <v>267</v>
      </c>
      <c r="C48" s="17" t="n">
        <f aca="false">SUMIF(Movimientos!B:B,LibroMayor!$A48,Movimientos!D:D)</f>
        <v>0</v>
      </c>
      <c r="D48" s="17" t="n">
        <f aca="false">SUMIF(Movimientos!B:B,LibroMayor!$A48,Movimientos!E:E)</f>
        <v>0</v>
      </c>
      <c r="E48" s="17" t="n">
        <f aca="false">C48-D48</f>
        <v>0</v>
      </c>
    </row>
    <row r="49" customFormat="false" ht="15" hidden="false" customHeight="true" outlineLevel="0" collapsed="false">
      <c r="A49" s="21" t="n">
        <v>1181</v>
      </c>
      <c r="B49" s="16" t="s">
        <v>269</v>
      </c>
      <c r="C49" s="17" t="n">
        <f aca="false">SUMIF(Movimientos!B:B,LibroMayor!$A49,Movimientos!D:D)</f>
        <v>0</v>
      </c>
      <c r="D49" s="17" t="n">
        <f aca="false">SUMIF(Movimientos!B:B,LibroMayor!$A49,Movimientos!E:E)</f>
        <v>0</v>
      </c>
      <c r="E49" s="17" t="n">
        <f aca="false">C49-D49</f>
        <v>0</v>
      </c>
    </row>
    <row r="50" customFormat="false" ht="15" hidden="false" customHeight="true" outlineLevel="0" collapsed="false">
      <c r="A50" s="21" t="n">
        <v>1182</v>
      </c>
      <c r="B50" s="16" t="s">
        <v>272</v>
      </c>
      <c r="C50" s="17" t="n">
        <f aca="false">SUMIF(Movimientos!B:B,LibroMayor!$A50,Movimientos!D:D)</f>
        <v>0</v>
      </c>
      <c r="D50" s="17" t="n">
        <f aca="false">SUMIF(Movimientos!B:B,LibroMayor!$A50,Movimientos!E:E)</f>
        <v>0</v>
      </c>
      <c r="E50" s="17" t="n">
        <f aca="false">C50-D50</f>
        <v>0</v>
      </c>
    </row>
    <row r="51" customFormat="false" ht="15" hidden="false" customHeight="true" outlineLevel="0" collapsed="false">
      <c r="A51" s="21" t="n">
        <v>2080</v>
      </c>
      <c r="B51" s="16" t="s">
        <v>274</v>
      </c>
      <c r="C51" s="17" t="n">
        <f aca="false">SUMIF(Movimientos!B:B,LibroMayor!$A51,Movimientos!D:D)</f>
        <v>0</v>
      </c>
      <c r="D51" s="17" t="n">
        <f aca="false">SUMIF(Movimientos!B:B,LibroMayor!$A51,Movimientos!E:E)</f>
        <v>0</v>
      </c>
      <c r="E51" s="17" t="n">
        <f aca="false">D51-C51</f>
        <v>0</v>
      </c>
    </row>
    <row r="52" customFormat="false" ht="15" hidden="false" customHeight="true" outlineLevel="0" collapsed="false">
      <c r="A52" s="21" t="n">
        <v>2081</v>
      </c>
      <c r="B52" s="16" t="s">
        <v>276</v>
      </c>
      <c r="C52" s="17" t="n">
        <f aca="false">SUMIF(Movimientos!B:B,LibroMayor!$A52,Movimientos!D:D)</f>
        <v>0</v>
      </c>
      <c r="D52" s="17" t="n">
        <f aca="false">SUMIF(Movimientos!B:B,LibroMayor!$A52,Movimientos!E:E)</f>
        <v>0</v>
      </c>
      <c r="E52" s="17" t="n">
        <f aca="false">D52-C52</f>
        <v>0</v>
      </c>
    </row>
    <row r="53" customFormat="false" ht="15" hidden="false" customHeight="true" outlineLevel="0" collapsed="false">
      <c r="A53" s="21" t="n">
        <v>2160</v>
      </c>
      <c r="B53" s="16" t="s">
        <v>279</v>
      </c>
      <c r="C53" s="17" t="n">
        <f aca="false">SUMIF(Movimientos!B:B,LibroMayor!$A53,Movimientos!D:D)</f>
        <v>0</v>
      </c>
      <c r="D53" s="17" t="n">
        <f aca="false">SUMIF(Movimientos!B:B,LibroMayor!$A53,Movimientos!E:E)</f>
        <v>0</v>
      </c>
      <c r="E53" s="17" t="n">
        <f aca="false">D53-C53</f>
        <v>0</v>
      </c>
    </row>
    <row r="54" customFormat="false" ht="15" hidden="false" customHeight="true" outlineLevel="0" collapsed="false">
      <c r="A54" s="21" t="n">
        <v>2170</v>
      </c>
      <c r="B54" s="16" t="s">
        <v>282</v>
      </c>
      <c r="C54" s="17" t="n">
        <f aca="false">SUMIF(Movimientos!B:B,LibroMayor!$A54,Movimientos!D:D)</f>
        <v>0</v>
      </c>
      <c r="D54" s="17" t="n">
        <f aca="false">SUMIF(Movimientos!B:B,LibroMayor!$A54,Movimientos!E:E)</f>
        <v>0</v>
      </c>
      <c r="E54" s="17" t="n">
        <f aca="false">D54-C54</f>
        <v>0</v>
      </c>
    </row>
    <row r="55" customFormat="false" ht="15" hidden="false" customHeight="true" outlineLevel="0" collapsed="false">
      <c r="A55" s="21" t="n">
        <v>2180</v>
      </c>
      <c r="B55" s="16" t="s">
        <v>285</v>
      </c>
      <c r="C55" s="17" t="n">
        <f aca="false">SUMIF(Movimientos!B:B,LibroMayor!$A55,Movimientos!D:D)</f>
        <v>0</v>
      </c>
      <c r="D55" s="17" t="n">
        <f aca="false">SUMIF(Movimientos!B:B,LibroMayor!$A55,Movimientos!E:E)</f>
        <v>0</v>
      </c>
      <c r="E55" s="17" t="n">
        <f aca="false">C55-D55</f>
        <v>0</v>
      </c>
    </row>
    <row r="56" customFormat="false" ht="15" hidden="false" customHeight="true" outlineLevel="0" collapsed="false">
      <c r="A56" s="21" t="n">
        <v>2181</v>
      </c>
      <c r="B56" s="16" t="s">
        <v>288</v>
      </c>
      <c r="C56" s="17" t="n">
        <f aca="false">SUMIF(Movimientos!B:B,LibroMayor!$A56,Movimientos!D:D)</f>
        <v>0</v>
      </c>
      <c r="D56" s="17" t="n">
        <f aca="false">SUMIF(Movimientos!B:B,LibroMayor!$A56,Movimientos!E:E)</f>
        <v>0</v>
      </c>
      <c r="E56" s="17" t="n">
        <f aca="false">C56-D56</f>
        <v>0</v>
      </c>
    </row>
    <row r="57" customFormat="false" ht="15" hidden="false" customHeight="true" outlineLevel="0" collapsed="false">
      <c r="A57" s="21" t="n">
        <v>5204</v>
      </c>
      <c r="B57" s="16" t="s">
        <v>291</v>
      </c>
      <c r="C57" s="17" t="n">
        <f aca="false">SUMIF(Movimientos!B:B,LibroMayor!$A57,Movimientos!D:D)</f>
        <v>0</v>
      </c>
      <c r="D57" s="17" t="n">
        <f aca="false">SUMIF(Movimientos!B:B,LibroMayor!$A57,Movimientos!E:E)</f>
        <v>0</v>
      </c>
      <c r="E57" s="17" t="n">
        <f aca="false">C57-D57</f>
        <v>0</v>
      </c>
    </row>
    <row r="58" customFormat="false" ht="15" hidden="false" customHeight="true" outlineLevel="0" collapsed="false">
      <c r="A58" s="21" t="n">
        <v>5205</v>
      </c>
      <c r="B58" s="16" t="s">
        <v>295</v>
      </c>
      <c r="C58" s="17" t="n">
        <f aca="false">SUMIF(Movimientos!B:B,LibroMayor!$A58,Movimientos!D:D)</f>
        <v>0</v>
      </c>
      <c r="D58" s="17" t="n">
        <f aca="false">SUMIF(Movimientos!B:B,LibroMayor!$A58,Movimientos!E:E)</f>
        <v>0</v>
      </c>
      <c r="E58" s="17" t="n">
        <f aca="false">C58-D58</f>
        <v>0</v>
      </c>
    </row>
    <row r="59" customFormat="false" ht="15" hidden="false" customHeight="true" outlineLevel="0" collapsed="false">
      <c r="A59" s="21" t="n">
        <v>5206</v>
      </c>
      <c r="B59" s="16" t="s">
        <v>298</v>
      </c>
      <c r="C59" s="17" t="n">
        <f aca="false">SUMIF(Movimientos!B:B,LibroMayor!$A59,Movimientos!D:D)</f>
        <v>0</v>
      </c>
      <c r="D59" s="17" t="n">
        <f aca="false">SUMIF(Movimientos!B:B,LibroMayor!$A59,Movimientos!E:E)</f>
        <v>0</v>
      </c>
      <c r="E59" s="17" t="n">
        <f aca="false">D59-C59</f>
        <v>0</v>
      </c>
    </row>
    <row r="60" customFormat="false" ht="15" hidden="false" customHeight="true" outlineLevel="0" collapsed="false">
      <c r="A60" s="21" t="n">
        <v>5207</v>
      </c>
      <c r="B60" s="16" t="s">
        <v>300</v>
      </c>
      <c r="C60" s="17" t="n">
        <f aca="false">SUMIF(Movimientos!B:B,LibroMayor!$A60,Movimientos!D:D)</f>
        <v>0</v>
      </c>
      <c r="D60" s="17" t="n">
        <f aca="false">SUMIF(Movimientos!B:B,LibroMayor!$A60,Movimientos!E:E)</f>
        <v>0</v>
      </c>
      <c r="E60" s="17" t="n">
        <f aca="false">C60-D60</f>
        <v>0</v>
      </c>
    </row>
    <row r="61" customFormat="false" ht="15" hidden="false" customHeight="true" outlineLevel="0" collapsed="false">
      <c r="A61" s="21" t="n">
        <v>5208</v>
      </c>
      <c r="B61" s="16" t="s">
        <v>303</v>
      </c>
      <c r="C61" s="17" t="n">
        <f aca="false">SUMIF(Movimientos!B:B,LibroMayor!$A61,Movimientos!D:D)</f>
        <v>0</v>
      </c>
      <c r="D61" s="17" t="n">
        <f aca="false">SUMIF(Movimientos!B:B,LibroMayor!$A61,Movimientos!E:E)</f>
        <v>0</v>
      </c>
      <c r="E61" s="17" t="n">
        <f aca="false">C61-D61</f>
        <v>0</v>
      </c>
    </row>
    <row r="62" customFormat="false" ht="15" hidden="false" customHeight="true" outlineLevel="0" collapsed="false">
      <c r="A62" s="21" t="n">
        <v>5304</v>
      </c>
      <c r="B62" s="16" t="s">
        <v>306</v>
      </c>
      <c r="C62" s="17" t="n">
        <f aca="false">SUMIF(Movimientos!B:B,LibroMayor!$A62,Movimientos!D:D)</f>
        <v>0</v>
      </c>
      <c r="D62" s="17" t="n">
        <f aca="false">SUMIF(Movimientos!B:B,LibroMayor!$A62,Movimientos!E:E)</f>
        <v>0</v>
      </c>
      <c r="E62" s="17" t="n">
        <f aca="false">C62-D62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6" width="11.51"/>
    <col collapsed="false" customWidth="true" hidden="false" outlineLevel="0" max="2" min="2" style="16" width="26.83"/>
    <col collapsed="false" customWidth="false" hidden="false" outlineLevel="0" max="3" min="3" style="24" width="10.16"/>
  </cols>
  <sheetData>
    <row r="1" customFormat="false" ht="13.5" hidden="false" customHeight="true" outlineLevel="0" collapsed="false">
      <c r="A1" s="25" t="s">
        <v>418</v>
      </c>
      <c r="B1" s="25" t="s">
        <v>422</v>
      </c>
      <c r="C1" s="24" t="s">
        <v>420</v>
      </c>
    </row>
    <row r="2" customFormat="false" ht="13.5" hidden="false" customHeight="true" outlineLevel="0" collapsed="false">
      <c r="A2" s="21" t="n">
        <v>1101</v>
      </c>
      <c r="B2" s="25" t="s">
        <v>145</v>
      </c>
      <c r="C2" s="26"/>
      <c r="D2" s="25"/>
      <c r="E2" s="25"/>
      <c r="F2" s="25"/>
      <c r="G2" s="25"/>
      <c r="H2" s="25"/>
      <c r="I2" s="25"/>
      <c r="J2" s="25"/>
      <c r="K2" s="25"/>
      <c r="L2" s="23"/>
      <c r="M2" s="23"/>
      <c r="N2" s="23"/>
      <c r="O2" s="23"/>
      <c r="P2" s="23"/>
      <c r="Q2" s="23"/>
    </row>
    <row r="3" customFormat="false" ht="13.5" hidden="false" customHeight="true" outlineLevel="0" collapsed="false">
      <c r="A3" s="21" t="n">
        <v>1102</v>
      </c>
      <c r="B3" s="25" t="s">
        <v>152</v>
      </c>
      <c r="C3" s="26"/>
      <c r="D3" s="25"/>
      <c r="E3" s="25"/>
      <c r="F3" s="25"/>
      <c r="G3" s="25"/>
      <c r="H3" s="25"/>
      <c r="I3" s="25"/>
      <c r="J3" s="25"/>
      <c r="K3" s="25"/>
      <c r="L3" s="23"/>
      <c r="M3" s="23"/>
      <c r="N3" s="23"/>
      <c r="O3" s="23"/>
      <c r="P3" s="23"/>
      <c r="Q3" s="23"/>
    </row>
    <row r="4" customFormat="false" ht="13.5" hidden="false" customHeight="true" outlineLevel="0" collapsed="false">
      <c r="A4" s="21" t="n">
        <v>1103</v>
      </c>
      <c r="B4" s="25" t="s">
        <v>154</v>
      </c>
      <c r="C4" s="26"/>
      <c r="D4" s="25"/>
      <c r="E4" s="25"/>
      <c r="F4" s="25"/>
      <c r="G4" s="25"/>
      <c r="H4" s="25"/>
      <c r="I4" s="25"/>
      <c r="J4" s="25"/>
      <c r="K4" s="25"/>
      <c r="L4" s="23"/>
      <c r="M4" s="23"/>
      <c r="N4" s="23"/>
      <c r="O4" s="23"/>
      <c r="P4" s="23"/>
      <c r="Q4" s="23"/>
    </row>
    <row r="5" customFormat="false" ht="13.5" hidden="false" customHeight="true" outlineLevel="0" collapsed="false">
      <c r="A5" s="21" t="n">
        <v>1104</v>
      </c>
      <c r="B5" s="25" t="s">
        <v>423</v>
      </c>
      <c r="C5" s="26"/>
      <c r="D5" s="25"/>
      <c r="E5" s="25"/>
      <c r="F5" s="25"/>
      <c r="G5" s="25"/>
      <c r="H5" s="25"/>
      <c r="I5" s="25"/>
      <c r="J5" s="25"/>
      <c r="K5" s="25"/>
      <c r="L5" s="23"/>
      <c r="M5" s="23"/>
      <c r="N5" s="23"/>
      <c r="O5" s="23"/>
      <c r="P5" s="23"/>
      <c r="Q5" s="23"/>
    </row>
    <row r="6" customFormat="false" ht="13.5" hidden="false" customHeight="true" outlineLevel="0" collapsed="false">
      <c r="A6" s="21" t="n">
        <v>1105</v>
      </c>
      <c r="B6" s="25" t="s">
        <v>160</v>
      </c>
      <c r="C6" s="26"/>
      <c r="D6" s="25"/>
      <c r="E6" s="25"/>
      <c r="F6" s="25"/>
      <c r="G6" s="25"/>
      <c r="H6" s="25"/>
      <c r="I6" s="25"/>
      <c r="J6" s="25"/>
      <c r="K6" s="25"/>
      <c r="L6" s="23"/>
      <c r="M6" s="23"/>
      <c r="N6" s="23"/>
      <c r="O6" s="23"/>
      <c r="P6" s="23"/>
      <c r="Q6" s="23"/>
    </row>
    <row r="7" customFormat="false" ht="13.5" hidden="false" customHeight="true" outlineLevel="0" collapsed="false">
      <c r="A7" s="21" t="n">
        <v>1106</v>
      </c>
      <c r="B7" s="16" t="s">
        <v>162</v>
      </c>
      <c r="C7" s="26"/>
      <c r="D7" s="16"/>
      <c r="E7" s="16"/>
      <c r="F7" s="16"/>
      <c r="G7" s="16"/>
      <c r="H7" s="16"/>
      <c r="I7" s="16"/>
      <c r="J7" s="16"/>
      <c r="K7" s="16"/>
      <c r="L7" s="23"/>
      <c r="M7" s="23"/>
      <c r="N7" s="23"/>
      <c r="O7" s="23"/>
      <c r="P7" s="23"/>
      <c r="Q7" s="23"/>
    </row>
    <row r="8" customFormat="false" ht="13.5" hidden="false" customHeight="true" outlineLevel="0" collapsed="false">
      <c r="A8" s="21" t="n">
        <v>1180</v>
      </c>
      <c r="B8" s="16" t="s">
        <v>267</v>
      </c>
      <c r="C8" s="26"/>
      <c r="D8" s="16"/>
      <c r="E8" s="16"/>
      <c r="F8" s="16"/>
      <c r="G8" s="16"/>
      <c r="H8" s="16"/>
      <c r="I8" s="16"/>
      <c r="J8" s="16"/>
      <c r="K8" s="16"/>
      <c r="L8" s="23"/>
      <c r="M8" s="23"/>
      <c r="N8" s="23"/>
      <c r="O8" s="23"/>
      <c r="P8" s="23"/>
      <c r="Q8" s="23"/>
    </row>
    <row r="9" customFormat="false" ht="13.5" hidden="false" customHeight="true" outlineLevel="0" collapsed="false">
      <c r="A9" s="21" t="n">
        <v>1181</v>
      </c>
      <c r="B9" s="16" t="s">
        <v>269</v>
      </c>
      <c r="C9" s="26"/>
      <c r="D9" s="16"/>
      <c r="E9" s="16"/>
      <c r="F9" s="16"/>
      <c r="G9" s="16"/>
      <c r="H9" s="16"/>
      <c r="I9" s="16"/>
      <c r="J9" s="16"/>
      <c r="K9" s="16"/>
      <c r="L9" s="23"/>
      <c r="M9" s="23"/>
      <c r="N9" s="23"/>
      <c r="O9" s="23"/>
      <c r="P9" s="23"/>
      <c r="Q9" s="23"/>
    </row>
    <row r="10" customFormat="false" ht="13.5" hidden="false" customHeight="true" outlineLevel="0" collapsed="false">
      <c r="A10" s="21" t="n">
        <v>1182</v>
      </c>
      <c r="B10" s="16" t="s">
        <v>272</v>
      </c>
      <c r="C10" s="26"/>
      <c r="D10" s="16"/>
      <c r="E10" s="16"/>
      <c r="F10" s="16"/>
      <c r="G10" s="16"/>
      <c r="H10" s="16"/>
      <c r="I10" s="16"/>
      <c r="J10" s="16"/>
      <c r="K10" s="16"/>
      <c r="L10" s="23"/>
      <c r="M10" s="23"/>
      <c r="N10" s="23"/>
      <c r="O10" s="23"/>
      <c r="P10" s="23"/>
      <c r="Q10" s="23"/>
    </row>
    <row r="11" customFormat="false" ht="13.5" hidden="false" customHeight="true" outlineLevel="0" collapsed="false">
      <c r="A11" s="21" t="n">
        <v>2180</v>
      </c>
      <c r="B11" s="16" t="s">
        <v>285</v>
      </c>
      <c r="C11" s="26"/>
      <c r="D11" s="16"/>
      <c r="E11" s="16"/>
      <c r="F11" s="16"/>
      <c r="G11" s="16"/>
      <c r="H11" s="16"/>
      <c r="I11" s="16"/>
      <c r="J11" s="16"/>
      <c r="K11" s="16"/>
      <c r="L11" s="23"/>
      <c r="M11" s="23"/>
      <c r="N11" s="23"/>
      <c r="O11" s="23"/>
      <c r="P11" s="23"/>
      <c r="Q11" s="23"/>
    </row>
    <row r="12" customFormat="false" ht="13.5" hidden="false" customHeight="true" outlineLevel="0" collapsed="false">
      <c r="A12" s="21" t="n">
        <v>2181</v>
      </c>
      <c r="B12" s="16" t="s">
        <v>288</v>
      </c>
      <c r="C12" s="26"/>
      <c r="D12" s="16"/>
      <c r="E12" s="16"/>
      <c r="F12" s="16"/>
      <c r="G12" s="16"/>
      <c r="H12" s="16"/>
      <c r="I12" s="16"/>
      <c r="J12" s="16"/>
      <c r="K12" s="16"/>
      <c r="L12" s="23"/>
      <c r="M12" s="23"/>
      <c r="N12" s="23"/>
      <c r="O12" s="23"/>
      <c r="P12" s="23"/>
      <c r="Q12" s="23"/>
    </row>
    <row r="13" customFormat="false" ht="13.5" hidden="false" customHeight="true" outlineLevel="0" collapsed="false">
      <c r="A13" s="21"/>
      <c r="B13" s="27" t="s">
        <v>424</v>
      </c>
      <c r="C13" s="28" t="n">
        <f aca="false">SUM(C2:C12)</f>
        <v>0</v>
      </c>
      <c r="D13" s="27"/>
      <c r="E13" s="27"/>
      <c r="F13" s="27"/>
      <c r="G13" s="27"/>
      <c r="H13" s="27"/>
      <c r="I13" s="27"/>
      <c r="J13" s="27"/>
      <c r="K13" s="27"/>
      <c r="L13" s="23"/>
      <c r="M13" s="23"/>
      <c r="N13" s="23"/>
      <c r="O13" s="23"/>
      <c r="P13" s="23"/>
      <c r="Q13" s="23"/>
    </row>
    <row r="14" customFormat="false" ht="13.5" hidden="false" customHeight="true" outlineLevel="0" collapsed="false">
      <c r="A14" s="21" t="n">
        <v>1201</v>
      </c>
      <c r="B14" s="25" t="s">
        <v>165</v>
      </c>
      <c r="C14" s="26"/>
      <c r="D14" s="25"/>
      <c r="E14" s="25"/>
      <c r="F14" s="25"/>
      <c r="G14" s="25"/>
      <c r="H14" s="25"/>
      <c r="I14" s="25"/>
      <c r="J14" s="25"/>
      <c r="K14" s="25"/>
      <c r="L14" s="23"/>
      <c r="M14" s="23"/>
      <c r="N14" s="23"/>
      <c r="O14" s="23"/>
      <c r="P14" s="23"/>
      <c r="Q14" s="23"/>
    </row>
    <row r="15" customFormat="false" ht="13.5" hidden="false" customHeight="true" outlineLevel="0" collapsed="false">
      <c r="A15" s="21" t="n">
        <v>1202</v>
      </c>
      <c r="B15" s="25" t="s">
        <v>169</v>
      </c>
      <c r="C15" s="26"/>
      <c r="D15" s="25"/>
      <c r="E15" s="25"/>
      <c r="F15" s="25"/>
      <c r="G15" s="25"/>
      <c r="H15" s="25"/>
      <c r="I15" s="25"/>
      <c r="J15" s="25"/>
      <c r="K15" s="25"/>
      <c r="L15" s="23"/>
      <c r="M15" s="23"/>
      <c r="N15" s="23"/>
      <c r="O15" s="23"/>
      <c r="P15" s="23"/>
      <c r="Q15" s="23"/>
    </row>
    <row r="16" customFormat="false" ht="13.5" hidden="false" customHeight="true" outlineLevel="0" collapsed="false">
      <c r="A16" s="21" t="n">
        <v>1203</v>
      </c>
      <c r="B16" s="25" t="s">
        <v>171</v>
      </c>
      <c r="C16" s="26"/>
      <c r="D16" s="25"/>
      <c r="E16" s="25"/>
      <c r="F16" s="25"/>
      <c r="G16" s="25"/>
      <c r="H16" s="25"/>
      <c r="I16" s="25"/>
      <c r="J16" s="25"/>
      <c r="K16" s="25"/>
      <c r="L16" s="23"/>
      <c r="M16" s="23"/>
      <c r="N16" s="23"/>
      <c r="O16" s="23"/>
      <c r="P16" s="23"/>
      <c r="Q16" s="23"/>
    </row>
    <row r="17" customFormat="false" ht="13.5" hidden="false" customHeight="true" outlineLevel="0" collapsed="false">
      <c r="A17" s="21" t="n">
        <v>1204</v>
      </c>
      <c r="B17" s="25" t="s">
        <v>173</v>
      </c>
      <c r="C17" s="26"/>
      <c r="D17" s="25"/>
      <c r="E17" s="25"/>
      <c r="F17" s="25"/>
      <c r="G17" s="25"/>
      <c r="H17" s="25"/>
      <c r="I17" s="25"/>
      <c r="J17" s="25"/>
      <c r="K17" s="25"/>
      <c r="L17" s="23"/>
      <c r="M17" s="23"/>
      <c r="N17" s="23"/>
      <c r="O17" s="23"/>
      <c r="P17" s="23"/>
      <c r="Q17" s="23"/>
    </row>
    <row r="18" customFormat="false" ht="13.5" hidden="false" customHeight="true" outlineLevel="0" collapsed="false">
      <c r="A18" s="21" t="n">
        <v>1205</v>
      </c>
      <c r="B18" s="29" t="s">
        <v>425</v>
      </c>
      <c r="C18" s="26"/>
      <c r="D18" s="29"/>
      <c r="E18" s="29"/>
      <c r="F18" s="29"/>
      <c r="G18" s="29"/>
      <c r="H18" s="29"/>
      <c r="I18" s="29"/>
      <c r="J18" s="29"/>
      <c r="K18" s="29"/>
      <c r="L18" s="23"/>
      <c r="M18" s="23"/>
      <c r="N18" s="23"/>
      <c r="O18" s="23"/>
      <c r="P18" s="23"/>
      <c r="Q18" s="23"/>
    </row>
    <row r="19" customFormat="false" ht="13.5" hidden="false" customHeight="true" outlineLevel="0" collapsed="false">
      <c r="A19" s="21"/>
      <c r="B19" s="27" t="s">
        <v>426</v>
      </c>
      <c r="C19" s="28" t="n">
        <f aca="false">SUM(C14:C17)-C18</f>
        <v>0</v>
      </c>
      <c r="D19" s="27"/>
      <c r="E19" s="27"/>
      <c r="F19" s="27"/>
      <c r="G19" s="27"/>
      <c r="H19" s="27"/>
      <c r="I19" s="27"/>
      <c r="J19" s="27"/>
      <c r="K19" s="27"/>
      <c r="L19" s="23"/>
      <c r="M19" s="23"/>
      <c r="N19" s="23"/>
      <c r="O19" s="23"/>
      <c r="P19" s="23"/>
      <c r="Q19" s="23"/>
    </row>
    <row r="20" customFormat="false" ht="13.5" hidden="false" customHeight="true" outlineLevel="0" collapsed="false">
      <c r="A20" s="21"/>
      <c r="B20" s="30" t="s">
        <v>427</v>
      </c>
      <c r="C20" s="31" t="n">
        <f aca="false">C13+C19</f>
        <v>0</v>
      </c>
    </row>
    <row r="21" customFormat="false" ht="13.5" hidden="false" customHeight="true" outlineLevel="0" collapsed="false">
      <c r="A21" s="21" t="n">
        <v>2101</v>
      </c>
      <c r="B21" s="25" t="s">
        <v>178</v>
      </c>
      <c r="C21" s="26"/>
      <c r="D21" s="25"/>
      <c r="E21" s="25"/>
      <c r="F21" s="25"/>
      <c r="G21" s="25"/>
      <c r="H21" s="25"/>
      <c r="I21" s="25"/>
      <c r="J21" s="25"/>
      <c r="K21" s="25"/>
      <c r="L21" s="23"/>
      <c r="M21" s="23"/>
      <c r="N21" s="23"/>
      <c r="O21" s="23"/>
      <c r="P21" s="23"/>
      <c r="Q21" s="23"/>
    </row>
    <row r="22" customFormat="false" ht="13.5" hidden="false" customHeight="true" outlineLevel="0" collapsed="false">
      <c r="A22" s="21" t="n">
        <v>2102</v>
      </c>
      <c r="B22" s="25" t="s">
        <v>182</v>
      </c>
      <c r="C22" s="26"/>
      <c r="D22" s="25"/>
      <c r="E22" s="25"/>
      <c r="F22" s="25"/>
      <c r="G22" s="25"/>
      <c r="H22" s="25"/>
      <c r="I22" s="25"/>
      <c r="J22" s="25"/>
      <c r="K22" s="25"/>
      <c r="L22" s="23"/>
      <c r="M22" s="23"/>
      <c r="N22" s="23"/>
      <c r="O22" s="23"/>
      <c r="P22" s="23"/>
      <c r="Q22" s="23"/>
    </row>
    <row r="23" customFormat="false" ht="13.5" hidden="false" customHeight="true" outlineLevel="0" collapsed="false">
      <c r="A23" s="21" t="n">
        <v>2103</v>
      </c>
      <c r="B23" s="25" t="s">
        <v>184</v>
      </c>
      <c r="C23" s="26"/>
      <c r="D23" s="25"/>
      <c r="E23" s="25"/>
      <c r="F23" s="25"/>
      <c r="G23" s="25"/>
      <c r="H23" s="25"/>
      <c r="I23" s="25"/>
      <c r="J23" s="25"/>
      <c r="K23" s="25"/>
      <c r="L23" s="23"/>
      <c r="M23" s="23"/>
      <c r="N23" s="23"/>
      <c r="O23" s="23"/>
      <c r="P23" s="23"/>
      <c r="Q23" s="23"/>
    </row>
    <row r="24" customFormat="false" ht="13.5" hidden="false" customHeight="true" outlineLevel="0" collapsed="false">
      <c r="A24" s="21" t="n">
        <v>2104</v>
      </c>
      <c r="B24" s="25" t="s">
        <v>186</v>
      </c>
      <c r="C24" s="26"/>
      <c r="D24" s="25"/>
      <c r="E24" s="25"/>
      <c r="F24" s="25"/>
      <c r="G24" s="25"/>
      <c r="H24" s="25"/>
      <c r="I24" s="25"/>
      <c r="J24" s="25"/>
      <c r="K24" s="25"/>
      <c r="L24" s="23"/>
      <c r="M24" s="23"/>
      <c r="N24" s="23"/>
      <c r="O24" s="23"/>
      <c r="P24" s="23"/>
      <c r="Q24" s="23"/>
    </row>
    <row r="25" customFormat="false" ht="13.5" hidden="false" customHeight="true" outlineLevel="0" collapsed="false">
      <c r="A25" s="21" t="n">
        <v>2080</v>
      </c>
      <c r="B25" s="16" t="s">
        <v>274</v>
      </c>
      <c r="C25" s="26"/>
      <c r="D25" s="25"/>
      <c r="E25" s="25"/>
      <c r="F25" s="25"/>
      <c r="G25" s="25"/>
      <c r="H25" s="25"/>
      <c r="I25" s="25"/>
      <c r="J25" s="25"/>
      <c r="K25" s="25"/>
      <c r="L25" s="23"/>
      <c r="M25" s="23"/>
      <c r="N25" s="23"/>
      <c r="O25" s="23"/>
      <c r="P25" s="23"/>
      <c r="Q25" s="23"/>
    </row>
    <row r="26" customFormat="false" ht="13.5" hidden="false" customHeight="true" outlineLevel="0" collapsed="false">
      <c r="A26" s="21" t="n">
        <v>2081</v>
      </c>
      <c r="B26" s="16" t="s">
        <v>276</v>
      </c>
      <c r="C26" s="26"/>
      <c r="D26" s="25"/>
      <c r="E26" s="25"/>
      <c r="F26" s="25"/>
      <c r="G26" s="25"/>
      <c r="H26" s="25"/>
      <c r="I26" s="25"/>
      <c r="J26" s="25"/>
      <c r="K26" s="25"/>
      <c r="L26" s="23"/>
      <c r="M26" s="23"/>
      <c r="N26" s="23"/>
      <c r="O26" s="23"/>
      <c r="P26" s="23"/>
      <c r="Q26" s="23"/>
    </row>
    <row r="27" customFormat="false" ht="13.5" hidden="false" customHeight="true" outlineLevel="0" collapsed="false">
      <c r="A27" s="21" t="n">
        <v>2160</v>
      </c>
      <c r="B27" s="16" t="s">
        <v>279</v>
      </c>
      <c r="C27" s="26"/>
      <c r="D27" s="25"/>
      <c r="E27" s="25"/>
      <c r="F27" s="25"/>
      <c r="G27" s="25"/>
      <c r="H27" s="25"/>
      <c r="I27" s="25"/>
      <c r="J27" s="25"/>
      <c r="K27" s="25"/>
      <c r="L27" s="23"/>
      <c r="M27" s="23"/>
      <c r="N27" s="23"/>
      <c r="O27" s="23"/>
      <c r="P27" s="23"/>
      <c r="Q27" s="23"/>
    </row>
    <row r="28" customFormat="false" ht="13.5" hidden="false" customHeight="true" outlineLevel="0" collapsed="false">
      <c r="A28" s="21" t="n">
        <v>2170</v>
      </c>
      <c r="B28" s="16" t="s">
        <v>282</v>
      </c>
      <c r="C28" s="26"/>
      <c r="D28" s="25"/>
      <c r="E28" s="25"/>
      <c r="F28" s="25"/>
      <c r="G28" s="25"/>
      <c r="H28" s="25"/>
      <c r="I28" s="25"/>
      <c r="J28" s="25"/>
      <c r="K28" s="25"/>
      <c r="L28" s="23"/>
      <c r="M28" s="23"/>
      <c r="N28" s="23"/>
      <c r="O28" s="23"/>
      <c r="P28" s="23"/>
      <c r="Q28" s="23"/>
    </row>
    <row r="29" customFormat="false" ht="13.5" hidden="false" customHeight="true" outlineLevel="0" collapsed="false">
      <c r="A29" s="21" t="n">
        <v>5206</v>
      </c>
      <c r="B29" s="16" t="s">
        <v>298</v>
      </c>
      <c r="C29" s="26"/>
      <c r="D29" s="25"/>
      <c r="E29" s="25"/>
      <c r="F29" s="25"/>
      <c r="G29" s="25"/>
      <c r="H29" s="25"/>
      <c r="I29" s="25"/>
      <c r="J29" s="25"/>
      <c r="K29" s="25"/>
      <c r="L29" s="23"/>
      <c r="M29" s="23"/>
      <c r="N29" s="23"/>
      <c r="O29" s="23"/>
      <c r="P29" s="23"/>
      <c r="Q29" s="23"/>
    </row>
    <row r="30" customFormat="false" ht="13.5" hidden="false" customHeight="true" outlineLevel="0" collapsed="false">
      <c r="A30" s="21"/>
      <c r="B30" s="27" t="s">
        <v>428</v>
      </c>
      <c r="C30" s="28" t="n">
        <f aca="false">SUM(C21:C29)</f>
        <v>0</v>
      </c>
      <c r="D30" s="27"/>
      <c r="E30" s="27"/>
      <c r="F30" s="27"/>
      <c r="G30" s="27"/>
      <c r="H30" s="27"/>
      <c r="I30" s="27"/>
      <c r="J30" s="27"/>
      <c r="K30" s="27"/>
      <c r="L30" s="23"/>
      <c r="M30" s="23"/>
      <c r="N30" s="23"/>
      <c r="O30" s="23"/>
      <c r="P30" s="23"/>
      <c r="Q30" s="23"/>
    </row>
    <row r="31" customFormat="false" ht="13.5" hidden="false" customHeight="true" outlineLevel="0" collapsed="false">
      <c r="A31" s="21" t="n">
        <v>2201</v>
      </c>
      <c r="B31" s="25" t="s">
        <v>189</v>
      </c>
      <c r="C31" s="26"/>
      <c r="D31" s="25"/>
      <c r="E31" s="25"/>
      <c r="F31" s="25"/>
      <c r="G31" s="25"/>
      <c r="H31" s="25"/>
      <c r="I31" s="25"/>
      <c r="J31" s="25"/>
      <c r="K31" s="25"/>
      <c r="L31" s="23"/>
      <c r="M31" s="23"/>
      <c r="N31" s="23"/>
      <c r="O31" s="23"/>
      <c r="P31" s="23"/>
      <c r="Q31" s="23"/>
    </row>
    <row r="32" customFormat="false" ht="13.5" hidden="false" customHeight="true" outlineLevel="0" collapsed="false">
      <c r="A32" s="21" t="n">
        <v>2202</v>
      </c>
      <c r="B32" s="25" t="s">
        <v>192</v>
      </c>
      <c r="C32" s="26"/>
      <c r="D32" s="25"/>
      <c r="E32" s="25"/>
      <c r="F32" s="25"/>
      <c r="G32" s="25"/>
      <c r="H32" s="25"/>
      <c r="I32" s="25"/>
      <c r="J32" s="25"/>
      <c r="K32" s="25"/>
      <c r="L32" s="23"/>
      <c r="M32" s="23"/>
      <c r="N32" s="23"/>
      <c r="O32" s="23"/>
      <c r="P32" s="23"/>
      <c r="Q32" s="23"/>
    </row>
    <row r="33" customFormat="false" ht="13.5" hidden="false" customHeight="true" outlineLevel="0" collapsed="false">
      <c r="A33" s="21"/>
      <c r="B33" s="27" t="s">
        <v>429</v>
      </c>
      <c r="C33" s="28" t="n">
        <f aca="false">SUM(C31:C32)</f>
        <v>0</v>
      </c>
      <c r="D33" s="27"/>
      <c r="E33" s="27"/>
      <c r="F33" s="27"/>
      <c r="G33" s="27"/>
      <c r="H33" s="27"/>
      <c r="I33" s="27"/>
      <c r="J33" s="27"/>
      <c r="K33" s="27"/>
      <c r="L33" s="23"/>
      <c r="M33" s="23"/>
      <c r="N33" s="23"/>
      <c r="O33" s="23"/>
      <c r="P33" s="23"/>
      <c r="Q33" s="23"/>
    </row>
    <row r="34" customFormat="false" ht="13.5" hidden="false" customHeight="true" outlineLevel="0" collapsed="false">
      <c r="A34" s="21" t="n">
        <v>3101</v>
      </c>
      <c r="B34" s="25" t="s">
        <v>194</v>
      </c>
      <c r="C34" s="26"/>
      <c r="D34" s="25"/>
      <c r="E34" s="25"/>
      <c r="F34" s="25"/>
      <c r="G34" s="25"/>
      <c r="H34" s="25"/>
      <c r="I34" s="25"/>
      <c r="J34" s="25"/>
      <c r="K34" s="25"/>
      <c r="L34" s="23"/>
      <c r="M34" s="23"/>
      <c r="N34" s="23"/>
      <c r="O34" s="23"/>
      <c r="P34" s="23"/>
      <c r="Q34" s="23"/>
    </row>
    <row r="35" customFormat="false" ht="13.5" hidden="false" customHeight="true" outlineLevel="0" collapsed="false">
      <c r="A35" s="21" t="n">
        <v>3102</v>
      </c>
      <c r="B35" s="25" t="s">
        <v>198</v>
      </c>
      <c r="C35" s="26"/>
      <c r="D35" s="25"/>
      <c r="E35" s="25"/>
      <c r="F35" s="25"/>
      <c r="G35" s="25"/>
      <c r="H35" s="25"/>
      <c r="I35" s="25"/>
      <c r="J35" s="25"/>
      <c r="K35" s="25"/>
      <c r="L35" s="23"/>
      <c r="M35" s="23"/>
      <c r="N35" s="23"/>
      <c r="O35" s="23"/>
      <c r="P35" s="23"/>
      <c r="Q35" s="23"/>
    </row>
    <row r="36" customFormat="false" ht="13.5" hidden="false" customHeight="true" outlineLevel="0" collapsed="false">
      <c r="A36" s="21" t="n">
        <v>3103</v>
      </c>
      <c r="B36" s="25" t="s">
        <v>201</v>
      </c>
      <c r="C36" s="26"/>
      <c r="D36" s="25"/>
      <c r="E36" s="25"/>
      <c r="F36" s="25"/>
      <c r="G36" s="25"/>
      <c r="H36" s="25"/>
      <c r="I36" s="25"/>
      <c r="J36" s="25"/>
      <c r="K36" s="25"/>
      <c r="L36" s="23"/>
      <c r="M36" s="23"/>
      <c r="N36" s="23"/>
      <c r="O36" s="23"/>
      <c r="P36" s="23"/>
      <c r="Q36" s="23"/>
    </row>
    <row r="37" customFormat="false" ht="13.5" hidden="false" customHeight="true" outlineLevel="0" collapsed="false">
      <c r="A37" s="21" t="n">
        <v>3104</v>
      </c>
      <c r="B37" s="25" t="s">
        <v>204</v>
      </c>
      <c r="C37" s="26"/>
      <c r="D37" s="25"/>
      <c r="E37" s="25"/>
      <c r="F37" s="25"/>
      <c r="G37" s="25"/>
      <c r="H37" s="25"/>
      <c r="I37" s="25"/>
      <c r="J37" s="25"/>
      <c r="K37" s="25"/>
      <c r="L37" s="23"/>
      <c r="M37" s="23"/>
      <c r="N37" s="23"/>
      <c r="O37" s="23"/>
      <c r="P37" s="23"/>
      <c r="Q37" s="23"/>
    </row>
    <row r="38" customFormat="false" ht="13.5" hidden="false" customHeight="true" outlineLevel="0" collapsed="false">
      <c r="A38" s="21"/>
      <c r="B38" s="27" t="s">
        <v>430</v>
      </c>
      <c r="C38" s="28" t="n">
        <f aca="false">SUM(C34:C37)</f>
        <v>0</v>
      </c>
      <c r="D38" s="27"/>
      <c r="E38" s="27"/>
      <c r="F38" s="27"/>
      <c r="G38" s="27"/>
      <c r="H38" s="27"/>
      <c r="I38" s="27"/>
      <c r="J38" s="27"/>
      <c r="K38" s="27"/>
      <c r="L38" s="23"/>
      <c r="M38" s="23"/>
      <c r="N38" s="23"/>
      <c r="O38" s="23"/>
      <c r="P38" s="23"/>
      <c r="Q38" s="23"/>
    </row>
    <row r="39" customFormat="false" ht="13.5" hidden="false" customHeight="true" outlineLevel="0" collapsed="false">
      <c r="A39" s="21"/>
      <c r="B39" s="32" t="s">
        <v>431</v>
      </c>
      <c r="C39" s="33" t="n">
        <f aca="false">C30+C33+C38</f>
        <v>0</v>
      </c>
      <c r="D39" s="32"/>
      <c r="E39" s="32"/>
      <c r="F39" s="32"/>
      <c r="G39" s="32"/>
      <c r="H39" s="32"/>
      <c r="I39" s="32"/>
      <c r="J39" s="32"/>
      <c r="K39" s="32"/>
      <c r="L39" s="23"/>
      <c r="M39" s="23"/>
      <c r="N39" s="23"/>
      <c r="O39" s="23"/>
      <c r="P39" s="23"/>
      <c r="Q39" s="23"/>
    </row>
    <row r="40" customFormat="false" ht="13.5" hidden="false" customHeight="true" outlineLevel="0" collapsed="false">
      <c r="A40" s="21" t="n">
        <v>4101</v>
      </c>
      <c r="B40" s="25" t="s">
        <v>207</v>
      </c>
      <c r="C40" s="26"/>
      <c r="D40" s="25"/>
      <c r="E40" s="25"/>
      <c r="F40" s="25"/>
      <c r="G40" s="25"/>
      <c r="H40" s="25"/>
      <c r="I40" s="25"/>
      <c r="J40" s="25"/>
      <c r="K40" s="25"/>
      <c r="L40" s="23"/>
      <c r="M40" s="23"/>
      <c r="N40" s="23"/>
      <c r="O40" s="23"/>
      <c r="P40" s="23"/>
      <c r="Q40" s="23"/>
    </row>
    <row r="41" customFormat="false" ht="13.5" hidden="false" customHeight="true" outlineLevel="0" collapsed="false">
      <c r="A41" s="21" t="n">
        <v>4102</v>
      </c>
      <c r="B41" s="25" t="s">
        <v>213</v>
      </c>
      <c r="C41" s="26"/>
      <c r="D41" s="25"/>
      <c r="E41" s="25"/>
      <c r="F41" s="25"/>
      <c r="G41" s="25"/>
      <c r="H41" s="25"/>
      <c r="I41" s="25"/>
      <c r="J41" s="25"/>
      <c r="K41" s="25"/>
      <c r="L41" s="23"/>
      <c r="M41" s="23"/>
      <c r="N41" s="23"/>
      <c r="O41" s="23"/>
      <c r="P41" s="23"/>
      <c r="Q41" s="23"/>
    </row>
    <row r="42" customFormat="false" ht="13.5" hidden="false" customHeight="true" outlineLevel="0" collapsed="false">
      <c r="A42" s="21" t="n">
        <v>4103</v>
      </c>
      <c r="B42" s="25" t="s">
        <v>216</v>
      </c>
      <c r="C42" s="26"/>
      <c r="D42" s="25"/>
      <c r="E42" s="25"/>
      <c r="F42" s="25"/>
      <c r="G42" s="25"/>
      <c r="H42" s="25"/>
      <c r="I42" s="25"/>
      <c r="J42" s="25"/>
      <c r="K42" s="25"/>
      <c r="L42" s="23"/>
      <c r="M42" s="23"/>
      <c r="N42" s="23"/>
      <c r="O42" s="23"/>
      <c r="P42" s="23"/>
      <c r="Q42" s="23"/>
    </row>
    <row r="43" customFormat="false" ht="13.5" hidden="false" customHeight="true" outlineLevel="0" collapsed="false">
      <c r="A43" s="21" t="n">
        <v>4104</v>
      </c>
      <c r="B43" s="25" t="s">
        <v>219</v>
      </c>
      <c r="C43" s="26"/>
      <c r="D43" s="25"/>
      <c r="E43" s="25"/>
      <c r="F43" s="25"/>
      <c r="G43" s="25"/>
      <c r="H43" s="25"/>
      <c r="I43" s="25"/>
      <c r="J43" s="25"/>
      <c r="K43" s="25"/>
      <c r="L43" s="23"/>
      <c r="M43" s="23"/>
      <c r="N43" s="23"/>
      <c r="O43" s="23"/>
      <c r="P43" s="23"/>
      <c r="Q43" s="23"/>
    </row>
    <row r="44" customFormat="false" ht="13.5" hidden="false" customHeight="true" outlineLevel="0" collapsed="false">
      <c r="A44" s="21" t="n">
        <v>4201</v>
      </c>
      <c r="B44" s="16" t="s">
        <v>129</v>
      </c>
      <c r="C44" s="26"/>
      <c r="D44" s="16"/>
      <c r="E44" s="16"/>
      <c r="F44" s="16"/>
      <c r="G44" s="16"/>
      <c r="H44" s="16"/>
      <c r="I44" s="16"/>
      <c r="J44" s="16"/>
      <c r="K44" s="16"/>
      <c r="L44" s="23"/>
      <c r="M44" s="23"/>
      <c r="N44" s="23"/>
      <c r="O44" s="23"/>
      <c r="P44" s="23"/>
      <c r="Q44" s="23"/>
    </row>
    <row r="45" customFormat="false" ht="13.5" hidden="false" customHeight="true" outlineLevel="0" collapsed="false">
      <c r="A45" s="21" t="n">
        <v>4202</v>
      </c>
      <c r="B45" s="25" t="s">
        <v>102</v>
      </c>
      <c r="C45" s="26"/>
      <c r="D45" s="25"/>
      <c r="E45" s="25"/>
      <c r="F45" s="25"/>
      <c r="G45" s="25"/>
      <c r="H45" s="25"/>
      <c r="I45" s="25"/>
      <c r="J45" s="25"/>
      <c r="K45" s="25"/>
      <c r="L45" s="23"/>
      <c r="M45" s="23"/>
      <c r="N45" s="23"/>
      <c r="O45" s="23"/>
      <c r="P45" s="23"/>
      <c r="Q45" s="23"/>
    </row>
    <row r="46" customFormat="false" ht="13.5" hidden="false" customHeight="true" outlineLevel="0" collapsed="false">
      <c r="A46" s="21" t="n">
        <v>4203</v>
      </c>
      <c r="B46" s="25" t="s">
        <v>227</v>
      </c>
      <c r="C46" s="26"/>
      <c r="D46" s="25"/>
      <c r="E46" s="25"/>
      <c r="F46" s="25"/>
      <c r="G46" s="25"/>
      <c r="H46" s="25"/>
      <c r="I46" s="25"/>
      <c r="J46" s="25"/>
      <c r="K46" s="25"/>
      <c r="L46" s="23"/>
      <c r="M46" s="23"/>
      <c r="N46" s="23"/>
      <c r="O46" s="23"/>
      <c r="P46" s="23"/>
      <c r="Q46" s="23"/>
    </row>
    <row r="47" customFormat="false" ht="13.5" hidden="false" customHeight="true" outlineLevel="0" collapsed="false">
      <c r="A47" s="21" t="n">
        <v>4301</v>
      </c>
      <c r="B47" s="25" t="s">
        <v>127</v>
      </c>
      <c r="C47" s="26"/>
      <c r="D47" s="25"/>
      <c r="E47" s="25"/>
      <c r="F47" s="25"/>
      <c r="G47" s="25"/>
      <c r="H47" s="25"/>
      <c r="I47" s="25"/>
      <c r="J47" s="25"/>
      <c r="K47" s="25"/>
      <c r="L47" s="23"/>
      <c r="M47" s="23"/>
      <c r="N47" s="23"/>
      <c r="O47" s="23"/>
      <c r="P47" s="23"/>
      <c r="Q47" s="23"/>
    </row>
    <row r="48" customFormat="false" ht="13.5" hidden="false" customHeight="true" outlineLevel="0" collapsed="false">
      <c r="A48" s="21" t="n">
        <v>4302</v>
      </c>
      <c r="B48" s="25" t="s">
        <v>96</v>
      </c>
      <c r="C48" s="26"/>
      <c r="D48" s="25"/>
      <c r="E48" s="25"/>
      <c r="F48" s="25"/>
      <c r="G48" s="25"/>
      <c r="H48" s="25"/>
      <c r="I48" s="25"/>
      <c r="J48" s="25"/>
      <c r="K48" s="25"/>
      <c r="L48" s="23"/>
      <c r="M48" s="23"/>
      <c r="N48" s="23"/>
      <c r="O48" s="23"/>
      <c r="P48" s="23"/>
      <c r="Q48" s="23"/>
    </row>
    <row r="49" customFormat="false" ht="13.5" hidden="false" customHeight="true" outlineLevel="0" collapsed="false">
      <c r="A49" s="21"/>
      <c r="B49" s="32" t="s">
        <v>432</v>
      </c>
      <c r="C49" s="33" t="n">
        <f aca="false">SUM(C40:C48)</f>
        <v>0</v>
      </c>
      <c r="D49" s="32"/>
      <c r="E49" s="32"/>
      <c r="F49" s="32"/>
      <c r="G49" s="32"/>
      <c r="H49" s="32"/>
      <c r="I49" s="32"/>
      <c r="J49" s="32"/>
      <c r="K49" s="32"/>
    </row>
    <row r="50" customFormat="false" ht="13.5" hidden="false" customHeight="true" outlineLevel="0" collapsed="false">
      <c r="A50" s="21" t="n">
        <v>5101</v>
      </c>
      <c r="B50" s="25" t="s">
        <v>234</v>
      </c>
      <c r="C50" s="26"/>
      <c r="D50" s="25"/>
      <c r="E50" s="25"/>
      <c r="F50" s="25"/>
      <c r="G50" s="25"/>
      <c r="H50" s="25"/>
      <c r="I50" s="25"/>
      <c r="J50" s="25"/>
      <c r="K50" s="25"/>
      <c r="L50" s="23"/>
      <c r="M50" s="23"/>
      <c r="N50" s="23"/>
      <c r="O50" s="23"/>
      <c r="P50" s="23"/>
      <c r="Q50" s="23"/>
    </row>
    <row r="51" customFormat="false" ht="13.5" hidden="false" customHeight="true" outlineLevel="0" collapsed="false">
      <c r="A51" s="21" t="n">
        <v>5102</v>
      </c>
      <c r="B51" s="25" t="s">
        <v>106</v>
      </c>
      <c r="C51" s="26"/>
      <c r="D51" s="25"/>
      <c r="E51" s="25"/>
      <c r="F51" s="25"/>
      <c r="G51" s="25"/>
      <c r="H51" s="25"/>
      <c r="I51" s="25"/>
      <c r="J51" s="25"/>
      <c r="K51" s="25"/>
      <c r="L51" s="23"/>
      <c r="M51" s="23"/>
      <c r="N51" s="23"/>
      <c r="O51" s="23"/>
      <c r="P51" s="23"/>
      <c r="Q51" s="23"/>
    </row>
    <row r="52" customFormat="false" ht="13.5" hidden="false" customHeight="true" outlineLevel="0" collapsed="false">
      <c r="A52" s="21" t="n">
        <v>5103</v>
      </c>
      <c r="B52" s="25" t="s">
        <v>108</v>
      </c>
      <c r="C52" s="26"/>
      <c r="D52" s="25"/>
      <c r="E52" s="25"/>
      <c r="F52" s="25"/>
      <c r="G52" s="25"/>
      <c r="H52" s="25"/>
      <c r="I52" s="25"/>
      <c r="J52" s="25"/>
      <c r="K52" s="25"/>
      <c r="L52" s="23"/>
      <c r="M52" s="23"/>
      <c r="N52" s="23"/>
      <c r="O52" s="23"/>
      <c r="P52" s="23"/>
      <c r="Q52" s="23"/>
    </row>
    <row r="53" customFormat="false" ht="13.5" hidden="false" customHeight="true" outlineLevel="0" collapsed="false">
      <c r="A53" s="21" t="n">
        <v>5104</v>
      </c>
      <c r="B53" s="25" t="s">
        <v>110</v>
      </c>
      <c r="C53" s="26"/>
      <c r="D53" s="25"/>
      <c r="E53" s="25"/>
      <c r="F53" s="25"/>
      <c r="G53" s="25"/>
      <c r="H53" s="25"/>
      <c r="I53" s="25"/>
      <c r="J53" s="25"/>
      <c r="K53" s="25"/>
      <c r="L53" s="23"/>
      <c r="M53" s="23"/>
      <c r="N53" s="23"/>
      <c r="O53" s="23"/>
      <c r="P53" s="23"/>
      <c r="Q53" s="23"/>
    </row>
    <row r="54" customFormat="false" ht="13.5" hidden="false" customHeight="true" outlineLevel="0" collapsed="false">
      <c r="A54" s="21" t="n">
        <v>5105</v>
      </c>
      <c r="B54" s="25" t="s">
        <v>112</v>
      </c>
      <c r="C54" s="26"/>
      <c r="D54" s="25"/>
      <c r="E54" s="25"/>
      <c r="F54" s="25"/>
      <c r="G54" s="25"/>
      <c r="H54" s="25"/>
      <c r="I54" s="25"/>
      <c r="J54" s="25"/>
      <c r="K54" s="25"/>
      <c r="L54" s="23"/>
      <c r="M54" s="23"/>
      <c r="N54" s="23"/>
      <c r="O54" s="23"/>
      <c r="P54" s="23"/>
      <c r="Q54" s="23"/>
    </row>
    <row r="55" customFormat="false" ht="13.5" hidden="false" customHeight="true" outlineLevel="0" collapsed="false">
      <c r="A55" s="21" t="n">
        <v>5201</v>
      </c>
      <c r="B55" s="25" t="s">
        <v>433</v>
      </c>
      <c r="C55" s="26"/>
      <c r="D55" s="25"/>
      <c r="E55" s="25"/>
      <c r="F55" s="25"/>
      <c r="G55" s="25"/>
      <c r="H55" s="25"/>
      <c r="I55" s="25"/>
      <c r="J55" s="25"/>
      <c r="K55" s="25"/>
      <c r="L55" s="23"/>
      <c r="M55" s="23"/>
      <c r="N55" s="23"/>
      <c r="O55" s="23"/>
      <c r="P55" s="23"/>
      <c r="Q55" s="23"/>
    </row>
    <row r="56" customFormat="false" ht="13.5" hidden="false" customHeight="true" outlineLevel="0" collapsed="false">
      <c r="A56" s="21" t="n">
        <v>5202</v>
      </c>
      <c r="B56" s="25" t="s">
        <v>85</v>
      </c>
      <c r="C56" s="26"/>
      <c r="D56" s="25"/>
      <c r="E56" s="25"/>
      <c r="F56" s="25"/>
      <c r="G56" s="25"/>
      <c r="H56" s="25"/>
      <c r="I56" s="25"/>
      <c r="J56" s="25"/>
      <c r="K56" s="25"/>
      <c r="L56" s="23"/>
      <c r="M56" s="23"/>
      <c r="N56" s="23"/>
      <c r="O56" s="23"/>
      <c r="P56" s="23"/>
      <c r="Q56" s="23"/>
    </row>
    <row r="57" customFormat="false" ht="13.5" hidden="false" customHeight="true" outlineLevel="0" collapsed="false">
      <c r="A57" s="21" t="n">
        <v>5203</v>
      </c>
      <c r="B57" s="25" t="s">
        <v>434</v>
      </c>
      <c r="C57" s="26"/>
      <c r="D57" s="25"/>
      <c r="E57" s="25"/>
      <c r="F57" s="25"/>
      <c r="G57" s="25"/>
      <c r="H57" s="25"/>
      <c r="I57" s="25"/>
      <c r="J57" s="25"/>
      <c r="K57" s="25"/>
      <c r="L57" s="23"/>
      <c r="M57" s="23"/>
      <c r="N57" s="23"/>
      <c r="O57" s="23"/>
      <c r="P57" s="23"/>
      <c r="Q57" s="23"/>
    </row>
    <row r="58" customFormat="false" ht="13.5" hidden="false" customHeight="true" outlineLevel="0" collapsed="false">
      <c r="A58" s="21" t="n">
        <v>5204</v>
      </c>
      <c r="B58" s="16" t="s">
        <v>291</v>
      </c>
      <c r="C58" s="26"/>
      <c r="D58" s="25"/>
      <c r="E58" s="25"/>
      <c r="F58" s="25"/>
      <c r="G58" s="25"/>
      <c r="H58" s="25"/>
      <c r="I58" s="25"/>
      <c r="J58" s="25"/>
      <c r="K58" s="25"/>
      <c r="L58" s="23"/>
      <c r="M58" s="23"/>
      <c r="N58" s="23"/>
      <c r="O58" s="23"/>
      <c r="P58" s="23"/>
      <c r="Q58" s="23"/>
    </row>
    <row r="59" customFormat="false" ht="13.5" hidden="false" customHeight="true" outlineLevel="0" collapsed="false">
      <c r="A59" s="21" t="n">
        <v>5205</v>
      </c>
      <c r="B59" s="16" t="s">
        <v>295</v>
      </c>
      <c r="C59" s="26"/>
      <c r="D59" s="25"/>
      <c r="E59" s="25"/>
      <c r="F59" s="25"/>
      <c r="G59" s="25"/>
      <c r="H59" s="25"/>
      <c r="I59" s="25"/>
      <c r="J59" s="25"/>
      <c r="K59" s="25"/>
      <c r="L59" s="23"/>
      <c r="M59" s="23"/>
      <c r="N59" s="23"/>
      <c r="O59" s="23"/>
      <c r="P59" s="23"/>
      <c r="Q59" s="23"/>
    </row>
    <row r="60" customFormat="false" ht="13.5" hidden="false" customHeight="true" outlineLevel="0" collapsed="false">
      <c r="A60" s="21" t="n">
        <v>5207</v>
      </c>
      <c r="B60" s="16" t="s">
        <v>300</v>
      </c>
      <c r="C60" s="26"/>
      <c r="D60" s="25"/>
      <c r="E60" s="25"/>
      <c r="F60" s="25"/>
      <c r="G60" s="25"/>
      <c r="H60" s="25"/>
      <c r="I60" s="25"/>
      <c r="J60" s="25"/>
      <c r="K60" s="25"/>
      <c r="L60" s="23"/>
      <c r="M60" s="23"/>
      <c r="N60" s="23"/>
      <c r="O60" s="23"/>
      <c r="P60" s="23"/>
      <c r="Q60" s="23"/>
    </row>
    <row r="61" customFormat="false" ht="13.5" hidden="false" customHeight="true" outlineLevel="0" collapsed="false">
      <c r="A61" s="21" t="n">
        <v>5208</v>
      </c>
      <c r="B61" s="16" t="s">
        <v>303</v>
      </c>
      <c r="C61" s="26"/>
      <c r="D61" s="25"/>
      <c r="E61" s="25"/>
      <c r="F61" s="25"/>
      <c r="G61" s="25"/>
      <c r="H61" s="25"/>
      <c r="I61" s="25"/>
      <c r="J61" s="25"/>
      <c r="K61" s="25"/>
      <c r="L61" s="23"/>
      <c r="M61" s="23"/>
      <c r="N61" s="23"/>
      <c r="O61" s="23"/>
      <c r="P61" s="23"/>
      <c r="Q61" s="23"/>
    </row>
    <row r="62" customFormat="false" ht="13.5" hidden="false" customHeight="true" outlineLevel="0" collapsed="false">
      <c r="A62" s="21" t="n">
        <v>5304</v>
      </c>
      <c r="B62" s="16" t="s">
        <v>306</v>
      </c>
      <c r="C62" s="26"/>
      <c r="D62" s="25"/>
      <c r="E62" s="25"/>
      <c r="F62" s="25"/>
      <c r="G62" s="25"/>
      <c r="H62" s="25"/>
      <c r="I62" s="25"/>
      <c r="J62" s="25"/>
      <c r="K62" s="25"/>
      <c r="L62" s="23"/>
      <c r="M62" s="23"/>
      <c r="N62" s="23"/>
      <c r="O62" s="23"/>
      <c r="P62" s="23"/>
      <c r="Q62" s="23"/>
    </row>
    <row r="63" customFormat="false" ht="13.5" hidden="false" customHeight="true" outlineLevel="0" collapsed="false">
      <c r="A63" s="21" t="n">
        <v>5301</v>
      </c>
      <c r="B63" s="25" t="s">
        <v>249</v>
      </c>
      <c r="C63" s="26"/>
      <c r="D63" s="25"/>
      <c r="E63" s="25"/>
      <c r="F63" s="25"/>
      <c r="G63" s="25"/>
      <c r="H63" s="25"/>
      <c r="I63" s="25"/>
      <c r="J63" s="25"/>
      <c r="K63" s="25"/>
      <c r="L63" s="23"/>
      <c r="M63" s="23"/>
      <c r="N63" s="23"/>
      <c r="O63" s="23"/>
      <c r="P63" s="23"/>
      <c r="Q63" s="23"/>
    </row>
    <row r="64" customFormat="false" ht="13.5" hidden="false" customHeight="true" outlineLevel="0" collapsed="false">
      <c r="A64" s="21" t="n">
        <v>5302</v>
      </c>
      <c r="B64" s="25" t="s">
        <v>252</v>
      </c>
      <c r="C64" s="26"/>
      <c r="D64" s="25"/>
      <c r="E64" s="25"/>
      <c r="F64" s="25"/>
      <c r="G64" s="25"/>
      <c r="H64" s="25"/>
      <c r="I64" s="25"/>
      <c r="J64" s="25"/>
      <c r="K64" s="25"/>
      <c r="L64" s="23"/>
      <c r="M64" s="23"/>
      <c r="N64" s="23"/>
      <c r="O64" s="23"/>
      <c r="P64" s="23"/>
      <c r="Q64" s="23"/>
    </row>
    <row r="65" customFormat="false" ht="13.5" hidden="false" customHeight="true" outlineLevel="0" collapsed="false">
      <c r="A65" s="21" t="n">
        <v>5303</v>
      </c>
      <c r="B65" s="25" t="s">
        <v>254</v>
      </c>
      <c r="C65" s="26"/>
      <c r="D65" s="25"/>
      <c r="E65" s="25"/>
      <c r="F65" s="25"/>
      <c r="G65" s="25"/>
      <c r="H65" s="25"/>
      <c r="I65" s="25"/>
      <c r="J65" s="25"/>
      <c r="K65" s="25"/>
      <c r="L65" s="23"/>
      <c r="M65" s="23"/>
      <c r="N65" s="23"/>
      <c r="O65" s="23"/>
      <c r="P65" s="23"/>
      <c r="Q65" s="23"/>
    </row>
    <row r="66" customFormat="false" ht="13.5" hidden="false" customHeight="true" outlineLevel="0" collapsed="false">
      <c r="A66" s="21" t="n">
        <v>5401</v>
      </c>
      <c r="B66" s="25" t="s">
        <v>256</v>
      </c>
      <c r="C66" s="26"/>
      <c r="D66" s="25"/>
      <c r="E66" s="25"/>
      <c r="F66" s="25"/>
      <c r="G66" s="25"/>
      <c r="H66" s="25"/>
      <c r="I66" s="25"/>
      <c r="J66" s="25"/>
      <c r="K66" s="25"/>
      <c r="L66" s="23"/>
      <c r="M66" s="23"/>
      <c r="N66" s="23"/>
      <c r="O66" s="23"/>
      <c r="P66" s="23"/>
      <c r="Q66" s="23"/>
    </row>
    <row r="67" customFormat="false" ht="13.5" hidden="false" customHeight="true" outlineLevel="0" collapsed="false">
      <c r="A67" s="21" t="n">
        <v>5402</v>
      </c>
      <c r="B67" s="25" t="s">
        <v>119</v>
      </c>
      <c r="C67" s="26"/>
      <c r="D67" s="25"/>
      <c r="E67" s="25"/>
      <c r="F67" s="25"/>
      <c r="G67" s="25"/>
      <c r="H67" s="25"/>
      <c r="I67" s="25"/>
      <c r="J67" s="25"/>
      <c r="K67" s="25"/>
      <c r="L67" s="23"/>
      <c r="M67" s="23"/>
      <c r="N67" s="23"/>
      <c r="O67" s="23"/>
      <c r="P67" s="23"/>
      <c r="Q67" s="23"/>
    </row>
    <row r="68" customFormat="false" ht="13.5" hidden="false" customHeight="true" outlineLevel="0" collapsed="false">
      <c r="A68" s="21" t="n">
        <v>5403</v>
      </c>
      <c r="B68" s="25" t="s">
        <v>435</v>
      </c>
      <c r="C68" s="26"/>
      <c r="D68" s="25"/>
      <c r="E68" s="25"/>
      <c r="F68" s="25"/>
      <c r="G68" s="25"/>
      <c r="H68" s="25"/>
      <c r="I68" s="25"/>
      <c r="J68" s="25"/>
      <c r="K68" s="25"/>
      <c r="L68" s="23"/>
      <c r="M68" s="23"/>
      <c r="N68" s="23"/>
      <c r="O68" s="23"/>
      <c r="P68" s="23"/>
      <c r="Q68" s="23"/>
    </row>
    <row r="69" customFormat="false" ht="13.5" hidden="false" customHeight="true" outlineLevel="0" collapsed="false">
      <c r="A69" s="21" t="n">
        <v>5404</v>
      </c>
      <c r="B69" s="25" t="s">
        <v>436</v>
      </c>
      <c r="C69" s="26"/>
      <c r="D69" s="25"/>
      <c r="E69" s="25"/>
      <c r="F69" s="25"/>
      <c r="G69" s="25"/>
      <c r="H69" s="25"/>
      <c r="I69" s="25"/>
      <c r="J69" s="25"/>
      <c r="K69" s="25"/>
      <c r="L69" s="23"/>
      <c r="M69" s="23"/>
      <c r="N69" s="23"/>
      <c r="O69" s="23"/>
      <c r="P69" s="23"/>
      <c r="Q69" s="23"/>
    </row>
    <row r="70" customFormat="false" ht="13.5" hidden="false" customHeight="true" outlineLevel="0" collapsed="false">
      <c r="A70" s="21" t="n">
        <v>5405</v>
      </c>
      <c r="B70" s="25" t="s">
        <v>437</v>
      </c>
      <c r="C70" s="26"/>
      <c r="D70" s="25"/>
      <c r="E70" s="25"/>
      <c r="F70" s="25"/>
      <c r="G70" s="25"/>
      <c r="H70" s="25"/>
      <c r="I70" s="25"/>
      <c r="J70" s="25"/>
      <c r="K70" s="25"/>
      <c r="L70" s="23"/>
      <c r="M70" s="23"/>
      <c r="N70" s="23"/>
      <c r="O70" s="23"/>
      <c r="P70" s="23"/>
      <c r="Q70" s="23"/>
    </row>
    <row r="71" customFormat="false" ht="13.5" hidden="false" customHeight="true" outlineLevel="0" collapsed="false">
      <c r="B71" s="32" t="s">
        <v>438</v>
      </c>
      <c r="C71" s="33" t="n">
        <f aca="false">SUM(C50:C70)</f>
        <v>0</v>
      </c>
      <c r="D71" s="32"/>
      <c r="E71" s="32"/>
      <c r="F71" s="32"/>
      <c r="G71" s="32"/>
      <c r="H71" s="32"/>
      <c r="I71" s="32"/>
      <c r="J71" s="32"/>
      <c r="K71" s="32"/>
      <c r="L71" s="23"/>
      <c r="M71" s="23"/>
      <c r="N71" s="23"/>
      <c r="O71" s="23"/>
      <c r="P71" s="23"/>
      <c r="Q71" s="23"/>
    </row>
    <row r="72" customFormat="false" ht="13.5" hidden="false" customHeight="true" outlineLevel="0" collapsed="false">
      <c r="A72" s="21" t="n">
        <v>3103</v>
      </c>
      <c r="B72" s="34" t="s">
        <v>439</v>
      </c>
      <c r="C72" s="35" t="n">
        <f aca="false">C49-C71</f>
        <v>0</v>
      </c>
      <c r="D72" s="34"/>
      <c r="E72" s="34"/>
      <c r="F72" s="34"/>
      <c r="G72" s="34"/>
      <c r="H72" s="34"/>
      <c r="I72" s="34"/>
      <c r="J72" s="34"/>
      <c r="K72" s="34"/>
    </row>
    <row r="73" customFormat="false" ht="13.5" hidden="false" customHeight="true" outlineLevel="0" collapsed="false">
      <c r="B73" s="34"/>
      <c r="C73" s="35"/>
      <c r="D73" s="34"/>
      <c r="E73" s="34"/>
      <c r="F73" s="34"/>
      <c r="G73" s="34"/>
      <c r="H73" s="34"/>
      <c r="I73" s="34"/>
      <c r="J73" s="34"/>
      <c r="K73" s="34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2025-10-08T04:58:48Z</dcterms:created>
  <dc:creator>hp</dc:creator>
  <dc:description/>
  <dc:language>es-ES</dc:language>
  <cp:lastModifiedBy/>
  <cp:lastPrinted>2025-10-25T14:21:47Z</cp:lastPrinted>
  <dcterms:modified xsi:type="dcterms:W3CDTF">2025-10-28T00:32:36Z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